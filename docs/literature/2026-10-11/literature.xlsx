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efd6d6a2304069" /></Relationships>
</file>

<file path=xl/workbook.xml><?xml version="1.0" encoding="utf-8"?>
<x:workbook xmlns:x="http://schemas.openxmlformats.org/spreadsheetml/2006/main">
  <x:sheets>
    <x:sheet xmlns:r="http://schemas.openxmlformats.org/officeDocument/2006/relationships" name="文献清单" sheetId="1" r:id="R4b07e3caebee414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sz val="11"/>
      <x:color rgb="FF253C48"/>
      <x:name val="Microsoft YaHei"/>
    </x:font>
    <x:font>
      <x:b/>
      <x:sz val="20"/>
      <x:color rgb="FFFFFFFF"/>
      <x:name val="Microsoft YaHei"/>
    </x:font>
    <x:font>
      <x:sz val="11"/>
      <x:color rgb="FF365769"/>
      <x:name val="Microsoft YaHei"/>
    </x:font>
    <x:font>
      <x:b/>
      <x:sz val="16"/>
      <x:color rgb="FF12644E"/>
      <x:name val="Microsoft YaHei"/>
    </x:font>
    <x:font>
      <x:sz val="11"/>
      <x:color rgb="FF71571C"/>
      <x:name val="Microsoft YaHei"/>
    </x:font>
    <x:font>
      <x:sz val="10"/>
      <x:color rgb="FF6B7D85"/>
      <x:name val="Microsoft YaHei"/>
    </x:font>
    <x:font>
      <x:b/>
      <x:sz val="11"/>
      <x:color rgb="FFFFFFFF"/>
      <x:name val="Microsoft YaHei"/>
    </x:font>
    <x:font>
      <x:sz val="11"/>
      <x:color rgb="FF2466A3"/>
      <x:name val="Microsoft YaHei"/>
    </x:font>
    <x:font>
      <x:b/>
      <x:sz val="11"/>
      <x:color rgb="FF12644E"/>
      <x:name val="Microsoft YaHei"/>
    </x:font>
  </x:fonts>
  <x:fills count="9">
    <x:fill>
      <x:patternFill patternType="none"/>
    </x:fill>
    <x:fill>
      <x:patternFill patternType="gray125"/>
    </x:fill>
    <x:fill>
      <x:patternFill patternType="solid">
        <x:fgColor rgb="FF163A4A"/>
      </x:patternFill>
    </x:fill>
    <x:fill>
      <x:patternFill patternType="solid">
        <x:fgColor rgb="FFE9F0F2"/>
      </x:patternFill>
    </x:fill>
    <x:fill>
      <x:patternFill patternType="solid">
        <x:fgColor rgb="FFD9ECE7"/>
      </x:patternFill>
    </x:fill>
    <x:fill>
      <x:patternFill patternType="solid">
        <x:fgColor rgb="FFFFF3D9"/>
      </x:patternFill>
    </x:fill>
    <x:fill>
      <x:patternFill patternType="solid">
        <x:fgColor rgb="FF245B6C"/>
      </x:patternFill>
    </x:fill>
    <x:fill>
      <x:patternFill patternType="solid">
        <x:fgColor rgb="FFF1F6F7"/>
      </x:patternFill>
    </x:fill>
    <x:fill>
      <x:patternFill patternType="solid">
        <x:fgColor rgb="FFFFFFFF"/>
      </x:patternFill>
    </x:fill>
  </x:fills>
  <x:borders count="1">
    <x:border>
      <x:left/>
      <x:right/>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200" fontId="1" fillId="7" borderId="0" xfId="0" applyNumberFormat="1" applyFont="1" applyFill="1" applyBorder="1" applyAlignment="1">
      <x:alignment vertical="center" wrapText="1"/>
    </x:xf>
    <x:xf numFmtId="0" fontId="1" fillId="7" borderId="0" xfId="0" applyNumberFormat="1" applyFont="1" applyFill="1" applyBorder="1" applyAlignment="1">
      <x:alignment horizontal="center" vertical="center" wrapText="1"/>
    </x:xf>
    <x:xf numFmtId="200" fontId="1" fillId="7" borderId="0" xfId="0" applyNumberFormat="1" applyFont="1" applyFill="1" applyBorder="1" applyAlignment="1">
      <x:alignment horizontal="center" vertical="center" wrapText="1"/>
    </x:xf>
    <x:xf numFmtId="0" fontId="8" fillId="7" borderId="0" xfId="0" applyNumberFormat="1" applyFont="1" applyFill="1" applyBorder="1" applyAlignment="1">
      <x:alignment vertical="center" wrapText="1"/>
    </x:xf>
    <x:xf numFmtId="0" fontId="1" fillId="4" borderId="0" xfId="0" applyNumberFormat="1" applyFont="1" applyFill="1" applyBorder="1" applyAlignment="1">
      <x:alignment horizontal="center" vertical="center" wrapText="1"/>
    </x:xf>
    <x:xf numFmtId="0" fontId="9" fillId="4" borderId="0" xfId="0" applyNumberFormat="1" applyFont="1" applyFill="1" applyBorder="1" applyAlignment="1">
      <x:alignment horizontal="center" vertical="center" wrapText="1"/>
    </x:xf>
    <x:xf numFmtId="0" fontId="1" fillId="8" borderId="0" xfId="0" applyNumberFormat="1" applyFont="1" applyFill="1" applyBorder="1" applyAlignment="1">
      <x:alignment vertical="center" wrapText="1"/>
    </x:xf>
    <x:xf numFmtId="200" fontId="1" fillId="8" borderId="0" xfId="0" applyNumberFormat="1" applyFont="1" applyFill="1" applyBorder="1" applyAlignment="1">
      <x:alignment vertical="center" wrapText="1"/>
    </x:xf>
    <x:xf numFmtId="0" fontId="1" fillId="8" borderId="0" xfId="0" applyNumberFormat="1" applyFont="1" applyFill="1" applyBorder="1" applyAlignment="1">
      <x:alignment horizontal="center" vertical="center" wrapText="1"/>
    </x:xf>
    <x:xf numFmtId="200" fontId="1" fillId="8" borderId="0" xfId="0" applyNumberFormat="1" applyFont="1" applyFill="1" applyBorder="1" applyAlignment="1">
      <x:alignment horizontal="center" vertical="center" wrapText="1"/>
    </x:xf>
    <x:xf numFmtId="0" fontId="8"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de57cf15b94761" /><Relationship Type="http://schemas.openxmlformats.org/officeDocument/2006/relationships/theme" Target="/xl/theme/theme1.xml" Id="Rec69aac0a10948a0" /><Relationship Type="http://schemas.openxmlformats.org/officeDocument/2006/relationships/sharedStrings" Target="/xl/sharedStrings.xml" Id="R2e7d2b560e7b4f54" /><Relationship Type="http://schemas.openxmlformats.org/officeDocument/2006/relationships/worksheet" Target="/xl/worksheets/sheet1.xml" Id="R4b07e3caebee4148" /></Relationships>
</file>

<file path=xl/tables/table1.xml><?xml version="1.0" encoding="utf-8"?>
<x:table xmlns:x="http://schemas.openxmlformats.org/spreadsheetml/2006/main" id="1" name="LiteratureCatalog" displayName="LiteratureCatalog" ref="A8:P108" headerRowCount="1" totalsRowCount="0" totalsRowShown="0">
  <x:autoFilter ref="A8:P108"/>
  <x:tableColumns count="16">
    <x:tableColumn id="1" name="编号"/>
    <x:tableColumn id="2" name="年份"/>
    <x:tableColumn id="3" name="主题"/>
    <x:tableColumn id="4" name="阅读优先级"/>
    <x:tableColumn id="5" name="论文标题"/>
    <x:tableColumn id="6" name="算法参考要点"/>
    <x:tableColumn id="7" name="使用边界"/>
    <x:tableColumn id="8" name="作者"/>
    <x:tableColumn id="9" name="期刊或会议"/>
    <x:tableColumn id="10" name="材料或尺度"/>
    <x:tableColumn id="11" name="DOI"/>
    <x:tableColumn id="12" name="原检索或会议记录"/>
    <x:tableColumn id="13" name="出版商或DOI链接"/>
    <x:tableColumn id="14" name="阅读证据"/>
    <x:tableColumn id="15" name="年份说明"/>
    <x:tableColumn id="16" name="元数据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bf3db128d5746cf" /></Relationships>
</file>

<file path=xl/worksheets/sheet1.xml><?xml version="1.0" encoding="utf-8"?>
<x:worksheet xmlns:x="http://schemas.openxmlformats.org/spreadsheetml/2006/main">
  <x:sheetPr>
    <x:tabColor rgb="FF163A4A"/>
  </x:sheetPr>
  <x:sheetViews>
    <x:sheetView showGridLines="0" workbookViewId="0">
      <x:pane xSplit="4" ySplit="8" topLeftCell="E9" activePane="bottomRight" state="frozen"/>
    </x:sheetView>
  </x:sheetViews>
  <x:sheetFormatPr defaultRowHeight="15"/>
  <x:cols>
    <x:col min="1" max="1" width="8" hidden="0" customWidth="1"/>
    <x:col min="2" max="2" width="9" hidden="0" customWidth="1"/>
    <x:col min="3" max="3" width="22" hidden="0" customWidth="1"/>
    <x:col min="4" max="4" width="12" hidden="0" customWidth="1"/>
    <x:col min="5" max="5" width="64" hidden="0" customWidth="1"/>
    <x:col min="6" max="6" width="50" hidden="0" customWidth="1"/>
    <x:col min="7" max="7" width="50" hidden="0" customWidth="1"/>
    <x:col min="8" max="8" width="50" hidden="0" customWidth="1"/>
    <x:col min="9" max="9" width="46" hidden="0" customWidth="1"/>
    <x:col min="10" max="10" width="34" hidden="0" customWidth="1"/>
    <x:col min="11" max="11" width="45" hidden="0" customWidth="1"/>
    <x:col min="12" max="12" width="58" hidden="0" customWidth="1"/>
    <x:col min="13" max="13" width="58" hidden="0" customWidth="1"/>
    <x:col min="14" max="14" width="39" hidden="0" customWidth="1"/>
    <x:col min="15" max="15" width="42" hidden="0" customWidth="1"/>
    <x:col min="16" max="16" width="34" hidden="0" customWidth="1"/>
  </x:cols>
  <x:sheetData>
    <x:row r="1" ht="43" customHeight="1">
      <x:c r="A1" s="5" t="str">
        <x:v>金丝成弧 · 100篇相关文献</x:v>
      </x:c>
      <x:c r="B1" s="5"/>
      <x:c r="C1" s="5"/>
      <x:c r="D1" s="5"/>
      <x:c r="E1" s="5"/>
      <x:c r="F1" s="5"/>
      <x:c r="G1" s="3"/>
      <x:c r="H1" s="3"/>
      <x:c r="I1" s="3"/>
      <x:c r="J1" s="3"/>
      <x:c r="K1" s="3"/>
      <x:c r="L1" s="3"/>
      <x:c r="M1" s="3"/>
      <x:c r="N1" s="3"/>
      <x:c r="O1" s="3"/>
      <x:c r="P1" s="3"/>
    </x:row>
    <x:row r="2" ht="28" customHeight="1">
      <x:c r="A2" s="7" t="str">
        <x:v>核验日期：2026-10-11 ｜ 先筛“先读”12篇，再按主题和年份扩展阅读</x:v>
      </x:c>
      <x:c r="B2" s="7"/>
      <x:c r="C2" s="7"/>
      <x:c r="D2" s="7"/>
      <x:c r="E2" s="7"/>
      <x:c r="F2" s="7"/>
      <x:c r="G2" s="3"/>
      <x:c r="H2" s="3"/>
      <x:c r="I2" s="3"/>
      <x:c r="J2" s="3"/>
      <x:c r="K2" s="3"/>
      <x:c r="L2" s="3"/>
      <x:c r="M2" s="3"/>
      <x:c r="N2" s="3"/>
      <x:c r="O2" s="3"/>
      <x:c r="P2" s="3"/>
    </x:row>
    <x:row r="3" ht="30" customHeight="1">
      <x:c r="A3" s="3" t="str">
        <x:v>2020—2026年文献 / 篇</x:v>
      </x:c>
      <x:c r="B3" s="3"/>
      <x:c r="C3" s="3"/>
      <x:c r="D3" s="10" t="n">
        <x:f>COUNTIFS(B9:B108,"&gt;=2020",B9:B108,"&lt;=2026")</x:f>
        <x:v>64</x:v>
      </x:c>
      <x:c r="E3" s="3" t="str">
        <x:v>2024—2026年文献 / 篇</x:v>
      </x:c>
      <x:c r="F3" s="10" t="n">
        <x:f>COUNTIFS(B9:B108,"&gt;=2024",B9:B108,"&lt;=2026")</x:f>
        <x:v>27</x:v>
      </x:c>
      <x:c r="G3" s="3"/>
      <x:c r="H3" s="3"/>
      <x:c r="I3" s="3"/>
      <x:c r="J3" s="3"/>
      <x:c r="K3" s="3"/>
      <x:c r="L3" s="3"/>
      <x:c r="M3" s="3"/>
      <x:c r="N3" s="3"/>
      <x:c r="O3" s="3"/>
      <x:c r="P3" s="3"/>
    </x:row>
    <x:row r="4" ht="30" customHeight="1">
      <x:c r="A4" s="3" t="str">
        <x:v>已确认DOI / 篇</x:v>
      </x:c>
      <x:c r="B4" s="3"/>
      <x:c r="C4" s="3"/>
      <x:c r="D4" s="10" t="n">
        <x:f>COUNTA(K9:K108)-COUNTIF(K9:K108,"未确认")</x:f>
        <x:v>98</x:v>
      </x:c>
      <x:c r="E4" s="3" t="str">
        <x:v>先读 / 篇</x:v>
      </x:c>
      <x:c r="F4" s="10" t="n">
        <x:f>COUNTIF(D9:D108,"先读")</x:f>
        <x:v>12</x:v>
      </x:c>
      <x:c r="G4" s="3"/>
      <x:c r="H4" s="3"/>
      <x:c r="I4" s="3"/>
      <x:c r="J4" s="3"/>
      <x:c r="K4" s="3"/>
      <x:c r="L4" s="3"/>
      <x:c r="M4" s="3"/>
      <x:c r="N4" s="3"/>
      <x:c r="O4" s="3"/>
      <x:c r="P4" s="3"/>
    </x:row>
    <x:row r="5" ht="30" customHeight="1">
      <x:c r="A5" s="12" t="str">
        <x:v>证据：98篇已读摘要/检索摘要并核对题录；2篇仅会议题录。未系统阅读全文。</x:v>
      </x:c>
      <x:c r="B5" s="12"/>
      <x:c r="C5" s="12"/>
      <x:c r="D5" s="12"/>
      <x:c r="E5" s="12"/>
      <x:c r="F5" s="12"/>
      <x:c r="G5" s="3"/>
      <x:c r="H5" s="3"/>
      <x:c r="I5" s="3"/>
      <x:c r="J5" s="3"/>
      <x:c r="K5" s="3"/>
      <x:c r="L5" s="3"/>
      <x:c r="M5" s="3"/>
      <x:c r="N5" s="3"/>
      <x:c r="O5" s="3"/>
      <x:c r="P5" s="3"/>
    </x:row>
    <x:row r="6" ht="30" customHeight="1">
      <x:c r="A6" s="13" t="str">
        <x:v>主题：直接成弧33｜材料边界22｜弹塑性杆与送丝32｜回弹识别与验证13。其他材料参数需重新标定。</x:v>
      </x:c>
      <x:c r="B6" s="13"/>
      <x:c r="C6" s="13"/>
      <x:c r="D6" s="13"/>
      <x:c r="E6" s="13"/>
      <x:c r="F6" s="13"/>
      <x:c r="G6" s="3"/>
      <x:c r="H6" s="3"/>
      <x:c r="I6" s="3"/>
      <x:c r="J6" s="3"/>
      <x:c r="K6" s="3"/>
      <x:c r="L6" s="3"/>
      <x:c r="M6" s="3"/>
      <x:c r="N6" s="3"/>
      <x:c r="O6" s="3"/>
      <x:c r="P6" s="3"/>
    </x:row>
    <x:row r="7" ht="28" customHeight="1">
      <x:c r="A7" s="14" t="str">
        <x:v>年份按正式出版记录整理；在线与卷期差异见“年份说明”。右侧含作者、期刊、DOI和原始网址，可复制访问。</x:v>
      </x:c>
      <x:c r="B7" s="14"/>
      <x:c r="C7" s="14"/>
      <x:c r="D7" s="14"/>
      <x:c r="E7" s="14"/>
      <x:c r="F7" s="14"/>
      <x:c r="G7" s="3"/>
      <x:c r="H7" s="3"/>
      <x:c r="I7" s="3"/>
      <x:c r="J7" s="3"/>
      <x:c r="K7" s="3"/>
      <x:c r="L7" s="3"/>
      <x:c r="M7" s="3"/>
      <x:c r="N7" s="3"/>
      <x:c r="O7" s="3"/>
      <x:c r="P7" s="3"/>
    </x:row>
    <x:row r="8" ht="36" customHeight="1">
      <x:c r="A8" s="16" t="str">
        <x:v>编号</x:v>
      </x:c>
      <x:c r="B8" s="16" t="str">
        <x:v>年份</x:v>
      </x:c>
      <x:c r="C8" s="16" t="str">
        <x:v>主题</x:v>
      </x:c>
      <x:c r="D8" s="16" t="str">
        <x:v>阅读优先级</x:v>
      </x:c>
      <x:c r="E8" s="16" t="str">
        <x:v>论文标题</x:v>
      </x:c>
      <x:c r="F8" s="16" t="str">
        <x:v>算法参考要点</x:v>
      </x:c>
      <x:c r="G8" s="16" t="str">
        <x:v>使用边界</x:v>
      </x:c>
      <x:c r="H8" s="16" t="str">
        <x:v>作者</x:v>
      </x:c>
      <x:c r="I8" s="16" t="str">
        <x:v>期刊或会议</x:v>
      </x:c>
      <x:c r="J8" s="16" t="str">
        <x:v>材料或尺度</x:v>
      </x:c>
      <x:c r="K8" s="16" t="str">
        <x:v>DOI</x:v>
      </x:c>
      <x:c r="L8" s="16" t="str">
        <x:v>原检索或会议记录</x:v>
      </x:c>
      <x:c r="M8" s="16" t="str">
        <x:v>出版商或DOI链接</x:v>
      </x:c>
      <x:c r="N8" s="16" t="str">
        <x:v>阅读证据</x:v>
      </x:c>
      <x:c r="O8" s="16" t="str">
        <x:v>年份说明</x:v>
      </x:c>
      <x:c r="P8" s="16" t="str">
        <x:v>元数据核验</x:v>
      </x:c>
    </x:row>
    <x:row r="9" ht="62" customHeight="1">
      <x:c r="A9" s="19" t="str">
        <x:v>L001</x:v>
      </x:c>
      <x:c r="B9" s="20" t="n">
        <x:v>2026</x:v>
      </x:c>
      <x:c r="C9" s="19" t="str">
        <x:v>直接成弧与轨迹</x:v>
      </x:c>
      <x:c r="D9" s="23" t="str">
        <x:v>先读</x:v>
      </x:c>
      <x:c r="E9" s="17" t="str">
        <x:v>面向超低弧的引线键合工艺研究</x:v>
      </x:c>
      <x:c r="F9" s="17" t="str">
        <x:v>采用20微米金丝和力控瓷嘴验证超低弧工艺，可为高度约束、颈部断裂与压平过程提供最新案例。</x:v>
      </x:c>
      <x:c r="G9" s="17" t="str">
        <x:v>按原文线材、键合方式和封装几何使用；金丝参数与本项目瓷嘴边界需独立标定。</x:v>
      </x:c>
      <x:c r="H9" s="17" t="str">
        <x:v>戚再玉; 王继忠; 施福勇; 王贵</x:v>
      </x:c>
      <x:c r="I9" s="17" t="str">
        <x:v>电子与封装</x:v>
      </x:c>
      <x:c r="J9" s="17" t="str">
        <x:v>20 μm 金丝</x:v>
      </x:c>
      <x:c r="K9" s="21" t="str">
        <x:v>10.16257/j.cnki.1681-1070.2026.0015</x:v>
      </x:c>
      <x:c r="L9" s="21" t="str">
        <x:v>https://ep.org.cn/CN/10.16257/j.cnki.1681-1070.2026.0015</x:v>
      </x:c>
      <x:c r="M9" s="21" t="str">
        <x:v>https://ep.org.cn/CN/10.16257/j.cnki.1681-1070.2026.0015</x:v>
      </x:c>
      <x:c r="N9" s="17" t="str">
        <x:v>已读摘要/检索摘要并核对题录；未系统阅读全文</x:v>
      </x:c>
      <x:c r="O9" s="17" t="str">
        <x:v>—</x:v>
      </x:c>
      <x:c r="P9" s="17" t="str">
        <x:v>出版商/会议原记录核对</x:v>
      </x:c>
    </x:row>
    <x:row r="10" ht="62" customHeight="1">
      <x:c r="A10" s="26" t="str">
        <x:v>L002</x:v>
      </x:c>
      <x:c r="B10" s="27" t="n">
        <x:v>2025</x:v>
      </x:c>
      <x:c r="C10" s="26" t="str">
        <x:v>直接成弧与轨迹</x:v>
      </x:c>
      <x:c r="D10" s="26" t="str">
        <x:v>核心</x:v>
      </x:c>
      <x:c r="E10" s="24" t="str">
        <x:v>Manufacturing Reliability Assessment of Fine Ag Alloy Wire During Wire Loop Formation Process</x:v>
      </x:c>
      <x:c r="F10" s="24" t="str">
        <x:v>将银合金丝微拉伸及率温相关本构导入成弧仿真，可借鉴材料标定与拐点应力评估流程。</x:v>
      </x:c>
      <x:c r="G10" s="24" t="str">
        <x:v>按原文线材、键合方式和封装几何使用；金丝参数与本项目瓷嘴边界需独立标定。</x:v>
      </x:c>
      <x:c r="H10" s="24" t="str">
        <x:v>Deshin Liu; Tingsheng Chang; Zhenwei Zhuang; Yungching Chao; Sungting Chung; Peichen Huang</x:v>
      </x:c>
      <x:c r="I10" s="24" t="str">
        <x:v>IEEE Access</x:v>
      </x:c>
      <x:c r="J10" s="24" t="str">
        <x:v>银合金</x:v>
      </x:c>
      <x:c r="K10" s="28" t="str">
        <x:v>10.1109/access.2025.3530509</x:v>
      </x:c>
      <x:c r="L10" s="28" t="str">
        <x:v>https://consensus.app/papers/manufacturing-reliability-assessment-of-fine-ag-alloy-liu-chang/7387d86c7e1f508aade8a0796ca91947/</x:v>
      </x:c>
      <x:c r="M10" s="28" t="str">
        <x:v>https://doi.org/10.1109/access.2025.3530509</x:v>
      </x:c>
      <x:c r="N10" s="24" t="str">
        <x:v>已读摘要/检索摘要并核对题录；未系统阅读全文</x:v>
      </x:c>
      <x:c r="O10" s="24" t="str">
        <x:v>—</x:v>
      </x:c>
      <x:c r="P10" s="24" t="str">
        <x:v>Crossref题名与DOI精确匹配</x:v>
      </x:c>
    </x:row>
    <x:row r="11" ht="62" customHeight="1">
      <x:c r="A11" s="19" t="str">
        <x:v>L003</x:v>
      </x:c>
      <x:c r="B11" s="20" t="n">
        <x:v>2024</x:v>
      </x:c>
      <x:c r="C11" s="19" t="str">
        <x:v>直接成弧与轨迹</x:v>
      </x:c>
      <x:c r="D11" s="19" t="str">
        <x:v>补充</x:v>
      </x:c>
      <x:c r="E11" s="17" t="str">
        <x:v>Base Loop Characterization to Alleviate Short Tail Issue in Stack Die Package</x:v>
      </x:c>
      <x:c r="F11" s="17" t="str">
        <x:v>会议题录研究叠层封装基础弧形与短尾问题，待取得摘要或全文后再判断轨迹与工艺启发。</x:v>
      </x:c>
      <x:c r="G11" s="17" t="str">
        <x:v>按原文线材、键合方式和封装几何使用；金丝参数与本项目瓷嘴边界需独立标定。</x:v>
      </x:c>
      <x:c r="H11" s="17" t="str">
        <x:v>Nisha Veloo; Aldin-John Andam Tuazon; Amnani Rosland</x:v>
      </x:c>
      <x:c r="I11" s="17" t="str">
        <x:v>2024 IEEE 40th International Electronics Manufacturing Technology (IEMT)</x:v>
      </x:c>
      <x:c r="J11" s="17" t="str">
        <x:v>题录未注明</x:v>
      </x:c>
      <x:c r="K11" s="21" t="str">
        <x:v>10.1109/iemt61324.2024.10875292</x:v>
      </x:c>
      <x:c r="L11" s="21" t="str">
        <x:v>https://www.proceedings.com/content/078/078861webtoc.pdf</x:v>
      </x:c>
      <x:c r="M11" s="21" t="str">
        <x:v>https://doi.org/10.1109/iemt61324.2024.10875292</x:v>
      </x:c>
      <x:c r="N11" s="12" t="str">
        <x:v>会议题录已核对；未读摘要及全文</x:v>
      </x:c>
      <x:c r="O11" s="17" t="str">
        <x:v>—</x:v>
      </x:c>
      <x:c r="P11" s="17" t="str">
        <x:v>Crossref题名与DOI精确匹配</x:v>
      </x:c>
    </x:row>
    <x:row r="12" ht="62" customHeight="1">
      <x:c r="A12" s="26" t="str">
        <x:v>L004</x:v>
      </x:c>
      <x:c r="B12" s="27" t="n">
        <x:v>2024</x:v>
      </x:c>
      <x:c r="C12" s="26" t="str">
        <x:v>直接成弧与轨迹</x:v>
      </x:c>
      <x:c r="D12" s="26" t="str">
        <x:v>补充</x:v>
      </x:c>
      <x:c r="E12" s="24" t="str">
        <x:v>Development of Robust Cu Wire Looping for Small Sensor QFN Package with Higher Dual Die Stack</x:v>
      </x:c>
      <x:c r="F12" s="24" t="str">
        <x:v>研究高叠层小尺寸QFN铜丝正反向弧形并优化短路风险，可参考空间约束与工艺配方。</x:v>
      </x:c>
      <x:c r="G12" s="24" t="str">
        <x:v>按原文线材、键合方式和封装几何使用；金丝参数与本项目瓷嘴边界需独立标定。</x:v>
      </x:c>
      <x:c r="H12" s="24" t="str">
        <x:v>Antonio A. M. Macatangay; Pey Fang Hiew; Eu Poh Leng; Chayathorn Saklang; Lo Hsiang; Tai Po Huang; Chi Hao Lin</x:v>
      </x:c>
      <x:c r="I12" s="24" t="str">
        <x:v>2024 IEEE 40th International Electronics Manufacturing Technology (IEMT)</x:v>
      </x:c>
      <x:c r="J12" s="24" t="str">
        <x:v>铜</x:v>
      </x:c>
      <x:c r="K12" s="28" t="str">
        <x:v>10.1109/iemt61324.2024.10875168</x:v>
      </x:c>
      <x:c r="L12" s="28" t="str">
        <x:v>https://consensus.app/papers/development-of-robust-cu-wire-looping-for-small-sensor-qfn-macatangay-hiew/952aa36cc2195e14a3ca3035628fe4dd/</x:v>
      </x:c>
      <x:c r="M12" s="28" t="str">
        <x:v>https://doi.org/10.1109/iemt61324.2024.10875168</x:v>
      </x:c>
      <x:c r="N12" s="24" t="str">
        <x:v>已读摘要/检索摘要并核对题录；未系统阅读全文</x:v>
      </x:c>
      <x:c r="O12" s="24" t="str">
        <x:v>—</x:v>
      </x:c>
      <x:c r="P12" s="24" t="str">
        <x:v>Crossref题名与DOI精确匹配</x:v>
      </x:c>
    </x:row>
    <x:row r="13" ht="62" customHeight="1">
      <x:c r="A13" s="19" t="str">
        <x:v>L005</x:v>
      </x:c>
      <x:c r="B13" s="20" t="n">
        <x:v>2024</x:v>
      </x:c>
      <x:c r="C13" s="19" t="str">
        <x:v>直接成弧与轨迹</x:v>
      </x:c>
      <x:c r="D13" s="19" t="str">
        <x:v>补充</x:v>
      </x:c>
      <x:c r="E13" s="17" t="str">
        <x:v>New Enhanced Loop Formation for Compute DRAM Package: An Innovative Solution to Enhance Robustness of Wire Loop and Enable Design Rule Limitation</x:v>
      </x:c>
      <x:c r="F13" s="17" t="str">
        <x:v>会议题录涉及DRAM封装增强成弧及设计规则约束，待取得摘要或全文后再判断具体可复用方法。</x:v>
      </x:c>
      <x:c r="G13" s="17" t="str">
        <x:v>按原文线材、键合方式和封装几何使用；金丝参数与本项目瓷嘴边界需独立标定。</x:v>
      </x:c>
      <x:c r="H13" s="17" t="str">
        <x:v>Ling Luo Ing; Aldin-John Andam Tuazon; Kwok Ting Sheng</x:v>
      </x:c>
      <x:c r="I13" s="17" t="str">
        <x:v>2024 IEEE 40th International Electronics Manufacturing Technology (IEMT)</x:v>
      </x:c>
      <x:c r="J13" s="17" t="str">
        <x:v>题录未注明</x:v>
      </x:c>
      <x:c r="K13" s="21" t="str">
        <x:v>10.1109/iemt61324.2024.10875149</x:v>
      </x:c>
      <x:c r="L13" s="21" t="str">
        <x:v>https://www.proceedings.com/content/078/078861webtoc.pdf</x:v>
      </x:c>
      <x:c r="M13" s="21" t="str">
        <x:v>https://doi.org/10.1109/iemt61324.2024.10875149</x:v>
      </x:c>
      <x:c r="N13" s="12" t="str">
        <x:v>会议题录已核对；未读摘要及全文</x:v>
      </x:c>
      <x:c r="O13" s="17" t="str">
        <x:v>—</x:v>
      </x:c>
      <x:c r="P13" s="17" t="str">
        <x:v>Crossref题名与DOI精确匹配</x:v>
      </x:c>
    </x:row>
    <x:row r="14" ht="62" customHeight="1">
      <x:c r="A14" s="26" t="str">
        <x:v>L006</x:v>
      </x:c>
      <x:c r="B14" s="27" t="n">
        <x:v>2023</x:v>
      </x:c>
      <x:c r="C14" s="26" t="str">
        <x:v>直接成弧与轨迹</x:v>
      </x:c>
      <x:c r="D14" s="26" t="str">
        <x:v>核心</x:v>
      </x:c>
      <x:c r="E14" s="24" t="str">
        <x:v>Digital Twins and Smart Manufacturing for Wire Bonding</x:v>
      </x:c>
      <x:c r="F14" s="24" t="str">
        <x:v>讨论三维弧形数字孪生、碰撞检查及在线弧高监测，适合学习未来软件的设计流程。</x:v>
      </x:c>
      <x:c r="G14" s="24" t="str">
        <x:v>按原文线材、键合方式和封装几何使用；金丝参数与本项目瓷嘴边界需独立标定。</x:v>
      </x:c>
      <x:c r="H14" s="24" t="str">
        <x:v>Basil Milton; Ray Cathcart; Odal Kwon; Pavel Shusharin; Ivy Qin</x:v>
      </x:c>
      <x:c r="I14" s="24" t="str">
        <x:v>IMAPSource Proceedings</x:v>
      </x:c>
      <x:c r="J14" s="24" t="str">
        <x:v>摘要未明确注明，需全文核查</x:v>
      </x:c>
      <x:c r="K14" s="28" t="str">
        <x:v>10.4071/001c.74778</x:v>
      </x:c>
      <x:c r="L14" s="28" t="str">
        <x:v>https://consensus.app/papers/digital-twins-and-smart-manufacturing-for-wire-bonding-milton-cathcart/7b13c3a76eea57dfb099a0a0991353c2/</x:v>
      </x:c>
      <x:c r="M14" s="28" t="str">
        <x:v>https://imapsource.org/article/74778-digital-twins-and-smart-manufacturing-for-wire-bonding</x:v>
      </x:c>
      <x:c r="N14" s="24" t="str">
        <x:v>已读摘要/检索摘要并核对题录；未系统阅读全文</x:v>
      </x:c>
      <x:c r="O14" s="24" t="str">
        <x:v>2022 Symposium卷号；出版商建议引用与在线出版年份为2023。</x:v>
      </x:c>
      <x:c r="P14" s="24" t="str">
        <x:v>Crossref题名与DOI精确匹配</x:v>
      </x:c>
    </x:row>
    <x:row r="15" ht="62" customHeight="1">
      <x:c r="A15" s="19" t="str">
        <x:v>L007</x:v>
      </x:c>
      <x:c r="B15" s="20" t="n">
        <x:v>2022</x:v>
      </x:c>
      <x:c r="C15" s="19" t="str">
        <x:v>直接成弧与轨迹</x:v>
      </x:c>
      <x:c r="D15" s="23" t="str">
        <x:v>先读</x:v>
      </x:c>
      <x:c r="E15" s="17" t="str">
        <x:v>Machine learning enables accurate wire loop profile prediction for advanced microelectronics packaging</x:v>
      </x:c>
      <x:c r="F15" s="17" t="str">
        <x:v>以有限元生成三拐点弧形数据库，再训练SVR/SVM预测坐标，可借鉴快速代理模型方法。</x:v>
      </x:c>
      <x:c r="G15" s="17" t="str">
        <x:v>按原文线材、键合方式和封装几何使用；金丝参数与本项目瓷嘴边界需独立标定。</x:v>
      </x:c>
      <x:c r="H15" s="17" t="str">
        <x:v>Maoxiang Hou; Zhengping Ou; Junyu Long; Shuquan Ding; Guanhai Wen; Yun Chen; Xin Chen</x:v>
      </x:c>
      <x:c r="I15" s="17" t="str">
        <x:v>Journal of Manufacturing Processes</x:v>
      </x:c>
      <x:c r="J15" s="17" t="str">
        <x:v>摘要未明确注明，需全文核查</x:v>
      </x:c>
      <x:c r="K15" s="21" t="str">
        <x:v>10.1016/j.jmapro.2022.09.059</x:v>
      </x:c>
      <x:c r="L15" s="21" t="str">
        <x:v>https://consensus.app/papers/machine-learning-enables-accurate-wire-loop-profile-hou-ou/027aba5d69d056d995f93ae8ca113ef6/</x:v>
      </x:c>
      <x:c r="M15" s="21" t="str">
        <x:v>https://www.sciencedirect.com/science/article/abs/pii/S152661252200679X</x:v>
      </x:c>
      <x:c r="N15" s="17" t="str">
        <x:v>已读摘要/检索摘要并核对题录；未系统阅读全文</x:v>
      </x:c>
      <x:c r="O15" s="17" t="str">
        <x:v>—</x:v>
      </x:c>
      <x:c r="P15" s="17" t="str">
        <x:v>Crossref题名与DOI精确匹配</x:v>
      </x:c>
    </x:row>
    <x:row r="16" ht="62" customHeight="1">
      <x:c r="A16" s="26" t="str">
        <x:v>L008</x:v>
      </x:c>
      <x:c r="B16" s="27" t="n">
        <x:v>2022</x:v>
      </x:c>
      <x:c r="C16" s="26" t="str">
        <x:v>直接成弧与轨迹</x:v>
      </x:c>
      <x:c r="D16" s="26" t="str">
        <x:v>核心</x:v>
      </x:c>
      <x:c r="E16" s="24" t="str">
        <x:v>Influence of capillary trace on the wire bond loop profile</x:v>
      </x:c>
      <x:c r="F16" s="24" t="str">
        <x:v>以有限元分析瓷嘴轨迹对弧高、顶点位置和应力的影响，可用于轨迹参数筛选与验证。</x:v>
      </x:c>
      <x:c r="G16" s="24" t="str">
        <x:v>按原文线材、键合方式和封装几何使用；金丝参数与本项目瓷嘴边界需独立标定。</x:v>
      </x:c>
      <x:c r="H16" s="24" t="str">
        <x:v>Jia-Jun Lai; Liang Xia; Rui Hu; Jia-You Huang; Kai-Lin Pan; Hong-Bo Qin</x:v>
      </x:c>
      <x:c r="I16" s="24" t="str">
        <x:v>2022 23rd International Conference on Electronic Packaging Technology (ICEPT)</x:v>
      </x:c>
      <x:c r="J16" s="24" t="str">
        <x:v>摘要未明确注明，需全文核查</x:v>
      </x:c>
      <x:c r="K16" s="28" t="str">
        <x:v>10.1109/icept56209.2022.9873313</x:v>
      </x:c>
      <x:c r="L16" s="28" t="str">
        <x:v>https://consensus.app/papers/influence-of-capillary-trace-on-the-wire-bond-loop-profile-lai-xia/fbebdbf6e1275d5e899a81db37773e15/</x:v>
      </x:c>
      <x:c r="M16" s="28" t="str">
        <x:v>https://doi.org/10.1109/icept56209.2022.9873313</x:v>
      </x:c>
      <x:c r="N16" s="24" t="str">
        <x:v>已读摘要/检索摘要并核对题录；未系统阅读全文</x:v>
      </x:c>
      <x:c r="O16" s="24" t="str">
        <x:v>—</x:v>
      </x:c>
      <x:c r="P16" s="24" t="str">
        <x:v>Crossref题名与DOI精确匹配</x:v>
      </x:c>
    </x:row>
    <x:row r="17" ht="62" customHeight="1">
      <x:c r="A17" s="19" t="str">
        <x:v>L009</x:v>
      </x:c>
      <x:c r="B17" s="20" t="n">
        <x:v>2022</x:v>
      </x:c>
      <x:c r="C17" s="19" t="str">
        <x:v>直接成弧与轨迹</x:v>
      </x:c>
      <x:c r="D17" s="19" t="str">
        <x:v>补充</x:v>
      </x:c>
      <x:c r="E17" s="17" t="str">
        <x:v>Low Height Wire bond Looping Technology using Wedge Bonding for the MMIC Package</x:v>
      </x:c>
      <x:c r="F17" s="17" t="str">
        <x:v>分析金丝楔焊超低弧形成及参数对弧高的影响，可提供球焊之外的低弧工艺对照。</x:v>
      </x:c>
      <x:c r="G17" s="17" t="str">
        <x:v>按原文线材、键合方式和封装几何使用；金丝参数与本项目瓷嘴边界需独立标定。</x:v>
      </x:c>
      <x:c r="H17" s="17" t="str">
        <x:v>Ah-Young Park; Jae Hak Lee; Seungman Kim; Sumin Kang; Seongheum Han; Seong-Il Kim; Jun-Yeob Song</x:v>
      </x:c>
      <x:c r="I17" s="17" t="str">
        <x:v>2022 IEEE 9th Electronics System-Integration Technology Conference (ESTC)</x:v>
      </x:c>
      <x:c r="J17" s="17" t="str">
        <x:v>金丝（摘要明确注明）</x:v>
      </x:c>
      <x:c r="K17" s="21" t="str">
        <x:v>10.1109/estc55720.2022.9939535</x:v>
      </x:c>
      <x:c r="L17" s="21" t="str">
        <x:v>https://consensus.app/papers/low-height-wire-bond-looping-technology-using-wedge-park-lee/21b30241c4d45a62a55347aafb6596c7/</x:v>
      </x:c>
      <x:c r="M17" s="21" t="str">
        <x:v>https://pure.uos.ac.kr/en/publications/low-height-wire-bond-looping-technology-using-wedge-bonding-for-t/</x:v>
      </x:c>
      <x:c r="N17" s="17" t="str">
        <x:v>已读摘要/检索摘要并核对题录；未系统阅读全文</x:v>
      </x:c>
      <x:c r="O17" s="17" t="str">
        <x:v>—</x:v>
      </x:c>
      <x:c r="P17" s="17" t="str">
        <x:v>Crossref题名与DOI精确匹配</x:v>
      </x:c>
    </x:row>
    <x:row r="18" ht="62" customHeight="1">
      <x:c r="A18" s="26" t="str">
        <x:v>L010</x:v>
      </x:c>
      <x:c r="B18" s="27" t="n">
        <x:v>2022</x:v>
      </x:c>
      <x:c r="C18" s="26" t="str">
        <x:v>直接成弧与轨迹</x:v>
      </x:c>
      <x:c r="D18" s="26" t="str">
        <x:v>补充</x:v>
      </x:c>
      <x:c r="E18" s="24" t="str">
        <x:v>Response Behavior of Typical Wire Looping under Random Vibration for Wire Bonding Packaging</x:v>
      </x:c>
      <x:c r="F18" s="24" t="str">
        <x:v>以实测弧形建模研究跨度、弧高与拐角半径的随机振动响应，可扩展成弧结果质量评价。</x:v>
      </x:c>
      <x:c r="G18" s="24" t="str">
        <x:v>按原文线材、键合方式和封装几何使用；金丝参数与本项目瓷嘴边界需独立标定。</x:v>
      </x:c>
      <x:c r="H18" s="24" t="str">
        <x:v>Wenjie Dai; Junfu Liu; Yunpeng Liu; Taotao Chen; Hu He</x:v>
      </x:c>
      <x:c r="I18" s="24" t="str">
        <x:v>2022 23rd International Conference on Electronic Packaging Technology (ICEPT)</x:v>
      </x:c>
      <x:c r="J18" s="24" t="str">
        <x:v>摘要未明确注明，需全文核查</x:v>
      </x:c>
      <x:c r="K18" s="28" t="str">
        <x:v>10.1109/icept56209.2022.9873321</x:v>
      </x:c>
      <x:c r="L18" s="28" t="str">
        <x:v>https://consensus.app/papers/response-behavior-of-typical-wire-looping-under-random-dai-liu/8854f46acf0c5515a1d8775b359c3948/</x:v>
      </x:c>
      <x:c r="M18" s="28" t="str">
        <x:v>https://doi.org/10.1109/icept56209.2022.9873321</x:v>
      </x:c>
      <x:c r="N18" s="24" t="str">
        <x:v>已读摘要/检索摘要并核对题录；未系统阅读全文</x:v>
      </x:c>
      <x:c r="O18" s="24" t="str">
        <x:v>—</x:v>
      </x:c>
      <x:c r="P18" s="24" t="str">
        <x:v>Crossref题名与DOI精确匹配</x:v>
      </x:c>
    </x:row>
    <x:row r="19" ht="62" customHeight="1">
      <x:c r="A19" s="19" t="str">
        <x:v>L011</x:v>
      </x:c>
      <x:c r="B19" s="20" t="n">
        <x:v>2021</x:v>
      </x:c>
      <x:c r="C19" s="19" t="str">
        <x:v>直接成弧与轨迹</x:v>
      </x:c>
      <x:c r="D19" s="19" t="str">
        <x:v>补充</x:v>
      </x:c>
      <x:c r="E19" s="17" t="str">
        <x:v>RSOB Shorting Defect Resolution through Looping Optimization and Ball Placement at Wirebond Process</x:v>
      </x:c>
      <x:c r="F19" s="17" t="str">
        <x:v>通过优化反向第二焊点球上楔焊的线弧参数与球点位置降低短路风险，可作工艺边界案例。</x:v>
      </x:c>
      <x:c r="G19" s="17" t="str">
        <x:v>按原文线材、键合方式和封装几何使用；金丝参数与本项目瓷嘴边界需独立标定。</x:v>
      </x:c>
      <x:c r="H19" s="17" t="str">
        <x:v>Norman S. Calma; Jonathan C. Pulido; Frederick Ray I. Gomez</x:v>
      </x:c>
      <x:c r="I19" s="17" t="str">
        <x:v>Journal of Engineering Research and Reports</x:v>
      </x:c>
      <x:c r="J19" s="17" t="str">
        <x:v>摘要未明确注明，需全文核查</x:v>
      </x:c>
      <x:c r="K19" s="21" t="str">
        <x:v>10.9734/jerr/2021/v20i1017387</x:v>
      </x:c>
      <x:c r="L19" s="21" t="str">
        <x:v>https://consensus.app/papers/rsob-shorting-defect-resolution-through-looping-calma-pulido/e7639dde6ee75191b4fdbcdbd7ca561a/</x:v>
      </x:c>
      <x:c r="M19" s="21" t="str">
        <x:v>https://doi.org/10.9734/jerr/2021/v20i1017387</x:v>
      </x:c>
      <x:c r="N19" s="17" t="str">
        <x:v>已读摘要/检索摘要并核对题录；未系统阅读全文</x:v>
      </x:c>
      <x:c r="O19" s="17" t="str">
        <x:v>—</x:v>
      </x:c>
      <x:c r="P19" s="17" t="str">
        <x:v>Crossref题名与DOI精确匹配</x:v>
      </x:c>
    </x:row>
    <x:row r="20" ht="62" customHeight="1">
      <x:c r="A20" s="26" t="str">
        <x:v>L012</x:v>
      </x:c>
      <x:c r="B20" s="27" t="n">
        <x:v>2020</x:v>
      </x:c>
      <x:c r="C20" s="26" t="str">
        <x:v>直接成弧与轨迹</x:v>
      </x:c>
      <x:c r="D20" s="23" t="str">
        <x:v>先读</x:v>
      </x:c>
      <x:c r="E20" s="24" t="str">
        <x:v>Rationally Designing the Trace of Wire Bonder Head for Large-Span-Ratio Wire Bonding in 3D Stacked Packaging</x:v>
      </x:c>
      <x:c r="F20" s="24" t="str">
        <x:v>从目标弧形推导键合头几何轨迹并以显式有限元与细金丝实验验证，支持轨迹反求方案。</x:v>
      </x:c>
      <x:c r="G20" s="24" t="str">
        <x:v>按原文线材、键合方式和封装几何使用；金丝参数与本项目瓷嘴边界需独立标定。</x:v>
      </x:c>
      <x:c r="H20" s="24" t="str">
        <x:v>Yun Chen; Shuquan Ding; Junyu Long; Maoxiang Hou; Xin Chen; Jian Gao; Yunbo He; Ching-Ping Wong</x:v>
      </x:c>
      <x:c r="I20" s="24" t="str">
        <x:v>IEEE Access</x:v>
      </x:c>
      <x:c r="J20" s="24" t="str">
        <x:v>金丝（摘要明确注明）</x:v>
      </x:c>
      <x:c r="K20" s="28" t="str">
        <x:v>10.1109/access.2020.3037338</x:v>
      </x:c>
      <x:c r="L20" s="28" t="str">
        <x:v>https://consensus.app/papers/rationally-designing-the-trace-of-wire-bonder-head-for-chen-ding/19824f6bddcb5536bb8968551b9c593a/</x:v>
      </x:c>
      <x:c r="M20" s="28" t="str">
        <x:v>https://doi.org/10.1109/access.2020.3037338</x:v>
      </x:c>
      <x:c r="N20" s="24" t="str">
        <x:v>已读摘要/检索摘要并核对题录；未系统阅读全文</x:v>
      </x:c>
      <x:c r="O20" s="24" t="str">
        <x:v>—</x:v>
      </x:c>
      <x:c r="P20" s="24" t="str">
        <x:v>Crossref题名与DOI精确匹配</x:v>
      </x:c>
    </x:row>
    <x:row r="21" ht="62" customHeight="1">
      <x:c r="A21" s="19" t="str">
        <x:v>L013</x:v>
      </x:c>
      <x:c r="B21" s="20" t="n">
        <x:v>2019</x:v>
      </x:c>
      <x:c r="C21" s="19" t="str">
        <x:v>直接成弧与轨迹</x:v>
      </x:c>
      <x:c r="D21" s="23" t="str">
        <x:v>先读</x:v>
      </x:c>
      <x:c r="E21" s="17" t="str">
        <x:v>Study of Complex Looping With Five Kinks in Thermosonic Wire Bonding by Using Variable-Length Link-Spring Model</x:v>
      </x:c>
      <x:c r="F21" s="17" t="str">
        <x:v>动态增加线段模拟送丝及五拐点弧形，并用实验校验，是复杂弧形简化模型的重要依据。</x:v>
      </x:c>
      <x:c r="G21" s="17" t="str">
        <x:v>按原文线材、键合方式和封装几何使用；金丝参数与本项目瓷嘴边界需独立标定。</x:v>
      </x:c>
      <x:c r="H21" s="17" t="str">
        <x:v>Fuliang Wang; Qixin Qing; Weidong Tang</x:v>
      </x:c>
      <x:c r="I21" s="17" t="str">
        <x:v>IEEE Transactions on Components, Packaging and Manufacturing Technology</x:v>
      </x:c>
      <x:c r="J21" s="17" t="str">
        <x:v>摘要未明确注明，需全文核查</x:v>
      </x:c>
      <x:c r="K21" s="21" t="str">
        <x:v>10.1109/tcpmt.2018.2881224</x:v>
      </x:c>
      <x:c r="L21" s="21" t="str">
        <x:v>https://consensus.app/papers/study-of-complex-looping-with-five-kinks-in-thermosonic-wang-qing/0695f21bf791531c8fa6967aa0c63f0a/</x:v>
      </x:c>
      <x:c r="M21" s="21" t="str">
        <x:v>https://doi.org/10.1109/tcpmt.2018.2881224</x:v>
      </x:c>
      <x:c r="N21" s="17" t="str">
        <x:v>已读摘要/检索摘要并核对题录；未系统阅读全文</x:v>
      </x:c>
      <x:c r="O21" s="17" t="str">
        <x:v>—</x:v>
      </x:c>
      <x:c r="P21" s="17" t="str">
        <x:v>Crossref题名与DOI精确匹配</x:v>
      </x:c>
    </x:row>
    <x:row r="22" ht="62" customHeight="1">
      <x:c r="A22" s="26" t="str">
        <x:v>L014</x:v>
      </x:c>
      <x:c r="B22" s="27" t="n">
        <x:v>2019</x:v>
      </x:c>
      <x:c r="C22" s="26" t="str">
        <x:v>直接成弧与轨迹</x:v>
      </x:c>
      <x:c r="D22" s="26" t="str">
        <x:v>核心</x:v>
      </x:c>
      <x:c r="E22" s="24" t="str">
        <x:v>Smart Wire Bond Solutions for SiP and Memory Packages</x:v>
      </x:c>
      <x:c r="F22" s="24" t="str">
        <x:v>针对SiP与存储器超低弧、悬伸芯片和在线监测提出工艺改进，可参考复杂边界下的成弧约束。</x:v>
      </x:c>
      <x:c r="G22" s="24" t="str">
        <x:v>按原文线材、键合方式和封装几何使用；金丝参数与本项目瓷嘴边界需独立标定。</x:v>
      </x:c>
      <x:c r="H22" s="24" t="str">
        <x:v>Basil Milton; Aashish Shah; Hui Xu; Odal Kwon; Gary Schulze; Ivy Qin; Nelson Wong</x:v>
      </x:c>
      <x:c r="I22" s="24" t="str">
        <x:v>2019 IEEE 69th Electronic Components and Technology Conference (ECTC)</x:v>
      </x:c>
      <x:c r="J22" s="24" t="str">
        <x:v>金丝/铜丝</x:v>
      </x:c>
      <x:c r="K22" s="28" t="str">
        <x:v>10.1109/ectc.2019.00016</x:v>
      </x:c>
      <x:c r="L22" s="28" t="str">
        <x:v>https://consensus.app/papers/smart-wire-bond-solutions-for-sip-and-memory-packages-milton-shah/f368c9ef9ef15395ab318954dcd72fa0/</x:v>
      </x:c>
      <x:c r="M22" s="28" t="str">
        <x:v>https://doi.org/10.1109/ectc.2019.00016</x:v>
      </x:c>
      <x:c r="N22" s="24" t="str">
        <x:v>已读摘要/检索摘要并核对题录；未系统阅读全文</x:v>
      </x:c>
      <x:c r="O22" s="24" t="str">
        <x:v>—</x:v>
      </x:c>
      <x:c r="P22" s="24" t="str">
        <x:v>Crossref题名与DOI精确匹配</x:v>
      </x:c>
    </x:row>
    <x:row r="23" ht="62" customHeight="1">
      <x:c r="A23" s="19" t="str">
        <x:v>L015</x:v>
      </x:c>
      <x:c r="B23" s="20" t="n">
        <x:v>2019</x:v>
      </x:c>
      <x:c r="C23" s="19" t="str">
        <x:v>直接成弧与轨迹</x:v>
      </x:c>
      <x:c r="D23" s="19" t="str">
        <x:v>补充</x:v>
      </x:c>
      <x:c r="E23" s="17" t="str">
        <x:v>QFN Multi-Level Pin Routing:Innovative Design Approach Enabling Complex Wire Bonding Layout</x:v>
      </x:c>
      <x:c r="F23" s="17" t="str">
        <x:v>通过多高度焊盘布局避开扫丝与下垂，可用于理解弧形求解前的端点与空间布局约束。</x:v>
      </x:c>
      <x:c r="G23" s="17" t="str">
        <x:v>按原文线材、键合方式和封装几何使用；金丝参数与本项目瓷嘴边界需独立标定。</x:v>
      </x:c>
      <x:c r="H23" s="17" t="str">
        <x:v>Dolores B. Milo</x:v>
      </x:c>
      <x:c r="I23" s="17" t="str">
        <x:v>2019 International Conference on Electronics Packaging (ICEP)</x:v>
      </x:c>
      <x:c r="J23" s="17" t="str">
        <x:v>摘要未注明</x:v>
      </x:c>
      <x:c r="K23" s="21" t="str">
        <x:v>10.23919/icep.2019.8733506</x:v>
      </x:c>
      <x:c r="L23" s="21" t="str">
        <x:v>https://consensus.app/papers/qfn-multilevel-pin-routinginnovative-design-approach-milo/937f682c914b525ebcdd585703f95b93/</x:v>
      </x:c>
      <x:c r="M23" s="21" t="str">
        <x:v>https://doi.org/10.23919/icep.2019.8733506</x:v>
      </x:c>
      <x:c r="N23" s="17" t="str">
        <x:v>已读摘要/检索摘要并核对题录；未系统阅读全文</x:v>
      </x:c>
      <x:c r="O23" s="17" t="str">
        <x:v>—</x:v>
      </x:c>
      <x:c r="P23" s="17" t="str">
        <x:v>Crossref题名与DOI精确匹配</x:v>
      </x:c>
    </x:row>
    <x:row r="24" ht="62" customHeight="1">
      <x:c r="A24" s="26" t="str">
        <x:v>L016</x:v>
      </x:c>
      <x:c r="B24" s="27" t="n">
        <x:v>2018</x:v>
      </x:c>
      <x:c r="C24" s="26" t="str">
        <x:v>直接成弧与轨迹</x:v>
      </x:c>
      <x:c r="D24" s="26" t="str">
        <x:v>补充</x:v>
      </x:c>
      <x:c r="E24" s="24" t="str">
        <x:v>Modified M-Loop Wire Formation: An Innovative Solution in Wire Bond Process to Relieve Stress on Ball Neck Causing Broken Wire</x:v>
      </x:c>
      <x:c r="F24" s="24" t="str">
        <x:v>针对厚芯片薄封装的低弧颈部断丝改进M形弧，可作低弧可行性与颈部约束案例。</x:v>
      </x:c>
      <x:c r="G24" s="24" t="str">
        <x:v>按原文线材、键合方式和封装几何使用；金丝参数与本项目瓷嘴边界需独立标定。</x:v>
      </x:c>
      <x:c r="H24" s="24" t="str">
        <x:v>Aldin-John Andam Tuazon; Leow Chin Kee</x:v>
      </x:c>
      <x:c r="I24" s="24" t="str">
        <x:v>2018 IEEE 38th International Electronics Manufacturing Technology Conference (IEMT)</x:v>
      </x:c>
      <x:c r="J24" s="24" t="str">
        <x:v>摘要未明确注明，需全文核查</x:v>
      </x:c>
      <x:c r="K24" s="28" t="str">
        <x:v>10.1109/iemt.2018.8511784</x:v>
      </x:c>
      <x:c r="L24" s="28" t="str">
        <x:v>https://consensus.app/papers/modified-mloop-wire-formation-an-innovative-solution-in-tuazon-kee/297f53e7e86d519da2bbc8783a38c3ad/</x:v>
      </x:c>
      <x:c r="M24" s="28" t="str">
        <x:v>https://doi.org/10.1109/iemt.2018.8511784</x:v>
      </x:c>
      <x:c r="N24" s="24" t="str">
        <x:v>已读摘要/检索摘要并核对题录；未系统阅读全文</x:v>
      </x:c>
      <x:c r="O24" s="24" t="str">
        <x:v>—</x:v>
      </x:c>
      <x:c r="P24" s="24" t="str">
        <x:v>Crossref题名与DOI精确匹配</x:v>
      </x:c>
    </x:row>
    <x:row r="25" ht="62" customHeight="1">
      <x:c r="A25" s="19" t="str">
        <x:v>L017</x:v>
      </x:c>
      <x:c r="B25" s="20" t="n">
        <x:v>2017</x:v>
      </x:c>
      <x:c r="C25" s="19" t="str">
        <x:v>直接成弧与轨迹</x:v>
      </x:c>
      <x:c r="D25" s="19" t="str">
        <x:v>核心</x:v>
      </x:c>
      <x:c r="E25" s="17" t="str">
        <x:v>Wire Bonding Looping Solutions for High Density System-in-Package (SiP)</x:v>
      </x:c>
      <x:c r="F25" s="17" t="str">
        <x:v>介绍三维弧形与间隙检查、多层弧形轨迹生成，支持碰撞避免及高密度封装软件需求分析。</x:v>
      </x:c>
      <x:c r="G25" s="17" t="str">
        <x:v>按原文线材、键合方式和封装几何使用；金丝参数与本项目瓷嘴边界需独立标定。</x:v>
      </x:c>
      <x:c r="H25" s="17" t="str">
        <x:v>Basil Milton; Odal Kwon; Cuong Huynh; Ivy Qin; Bob Chylak</x:v>
      </x:c>
      <x:c r="I25" s="17" t="str">
        <x:v>International Symposium on Microelectronics</x:v>
      </x:c>
      <x:c r="J25" s="17" t="str">
        <x:v>铜丝/银丝等</x:v>
      </x:c>
      <x:c r="K25" s="21" t="str">
        <x:v>10.4071/isom-2017-wp41_151</x:v>
      </x:c>
      <x:c r="L25" s="21" t="str">
        <x:v>https://consensus.app/papers/wire-bonding-looping-solutions-for-high-density-milton-kwon/e38c2adf02af592db8bbbfbe88c1fa8a/</x:v>
      </x:c>
      <x:c r="M25" s="21" t="str">
        <x:v>https://meridian.allenpress.com/ism/article/2017/1/000426/35895/Wire-Bonding-Looping-Solutions-for-High-Density</x:v>
      </x:c>
      <x:c r="N25" s="17" t="str">
        <x:v>已读摘要/检索摘要并核对题录；未系统阅读全文</x:v>
      </x:c>
      <x:c r="O25" s="17" t="str">
        <x:v>—</x:v>
      </x:c>
      <x:c r="P25" s="17" t="str">
        <x:v>Crossref题名与DOI精确匹配</x:v>
      </x:c>
    </x:row>
    <x:row r="26" ht="62" customHeight="1">
      <x:c r="A26" s="26" t="str">
        <x:v>L018</x:v>
      </x:c>
      <x:c r="B26" s="27" t="n">
        <x:v>2017</x:v>
      </x:c>
      <x:c r="C26" s="26" t="str">
        <x:v>直接成弧与轨迹</x:v>
      </x:c>
      <x:c r="D26" s="26" t="str">
        <x:v>补充</x:v>
      </x:c>
      <x:c r="E26" s="24" t="str">
        <x:v>A theoretical study to improve wire sag of ultra-long wire bond loops for 3D/MCM packaging</x:v>
      </x:c>
      <x:c r="F26" s="24" t="str">
        <x:v>从金丝截面惯性矩分析超长弧下垂与扫丝，适合借鉴弧形稳定性指标；仍需生产试验验证。</x:v>
      </x:c>
      <x:c r="G26" s="24" t="str">
        <x:v>按原文线材、键合方式和封装几何使用；金丝参数与本项目瓷嘴边界需独立标定。</x:v>
      </x:c>
      <x:c r="H26" s="24" t="str">
        <x:v>Huang-Kuang Kung; Chi-Lung Hsieh</x:v>
      </x:c>
      <x:c r="I26" s="24" t="str">
        <x:v>Microelectronics Reliability</x:v>
      </x:c>
      <x:c r="J26" s="24" t="str">
        <x:v>金丝</x:v>
      </x:c>
      <x:c r="K26" s="28" t="str">
        <x:v>10.1016/j.microrel.2017.09.013</x:v>
      </x:c>
      <x:c r="L26" s="28" t="str">
        <x:v>https://www.sciencedirect.com/science/article/abs/pii/S0026271417304584</x:v>
      </x:c>
      <x:c r="M26" s="28" t="str">
        <x:v>https://www.sciencedirect.com/science/article/abs/pii/S0026271417304584</x:v>
      </x:c>
      <x:c r="N26" s="24" t="str">
        <x:v>已读摘要/检索摘要并核对题录；未系统阅读全文</x:v>
      </x:c>
      <x:c r="O26" s="24" t="str">
        <x:v>—</x:v>
      </x:c>
      <x:c r="P26" s="24" t="str">
        <x:v>Crossref题名与DOI精确匹配</x:v>
      </x:c>
    </x:row>
    <x:row r="27" ht="62" customHeight="1">
      <x:c r="A27" s="19" t="str">
        <x:v>L019</x:v>
      </x:c>
      <x:c r="B27" s="20" t="n">
        <x:v>2016</x:v>
      </x:c>
      <x:c r="C27" s="19" t="str">
        <x:v>直接成弧与轨迹</x:v>
      </x:c>
      <x:c r="D27" s="19" t="str">
        <x:v>核心</x:v>
      </x:c>
      <x:c r="E27" s="17" t="str">
        <x:v>Wire Bonding Looping Solutions for Advanced High Pin Count Devices</x:v>
      </x:c>
      <x:c r="F27" s="17" t="str">
        <x:v>讨论三维离线弧形设计、间隙检查和成弧参数映射，可作为从目标弧形生成配方的工程参考。</x:v>
      </x:c>
      <x:c r="G27" s="17" t="str">
        <x:v>按原文线材、键合方式和封装几何使用；金丝参数与本项目瓷嘴边界需独立标定。</x:v>
      </x:c>
      <x:c r="H27" s="17" t="str">
        <x:v>Ivy Qin; Basil Milton; Gary Schulze; Cuong Huynh; Bob Chylak; Nelson Wong</x:v>
      </x:c>
      <x:c r="I27" s="17" t="str">
        <x:v>2016 IEEE 66th Electronic Components and Technology Conference (ECTC)</x:v>
      </x:c>
      <x:c r="J27" s="17" t="str">
        <x:v>铜丝</x:v>
      </x:c>
      <x:c r="K27" s="21" t="str">
        <x:v>10.1109/ectc.2016.222</x:v>
      </x:c>
      <x:c r="L27" s="21" t="str">
        <x:v>https://consensus.app/papers/wire-bonding-looping-solutions-for-advanced-high-pin-count-qin-milton/0df2a2a04eeb5e1186cd23a4df9bbb82/</x:v>
      </x:c>
      <x:c r="M27" s="21" t="str">
        <x:v>https://doi.org/10.1109/ectc.2016.222</x:v>
      </x:c>
      <x:c r="N27" s="17" t="str">
        <x:v>已读摘要/检索摘要并核对题录；未系统阅读全文</x:v>
      </x:c>
      <x:c r="O27" s="17" t="str">
        <x:v>—</x:v>
      </x:c>
      <x:c r="P27" s="17" t="str">
        <x:v>Crossref题名与DOI精确匹配</x:v>
      </x:c>
    </x:row>
    <x:row r="28" ht="62" customHeight="1">
      <x:c r="A28" s="26" t="str">
        <x:v>L020</x:v>
      </x:c>
      <x:c r="B28" s="27" t="n">
        <x:v>2016</x:v>
      </x:c>
      <x:c r="C28" s="26" t="str">
        <x:v>直接成弧与轨迹</x:v>
      </x:c>
      <x:c r="D28" s="26" t="str">
        <x:v>补充</x:v>
      </x:c>
      <x:c r="E28" s="24" t="str">
        <x:v>A Study on Making a Stable Loop Profile and Improving Bonding Time in Wire Bonding Process</x:v>
      </x:c>
      <x:c r="F28" s="24" t="str">
        <x:v>通过减少折弯步骤改进超低弧颈部稳定性与成弧时间，可为低弧轨迹设计提供工艺思路。</x:v>
      </x:c>
      <x:c r="G28" s="24" t="str">
        <x:v>按原文线材、键合方式和封装几何使用；金丝参数与本项目瓷嘴边界需独立标定。</x:v>
      </x:c>
      <x:c r="H28" s="24" t="str">
        <x:v>KwanHyub Nam; JangWoo Ryu; Sungho Lee; Hyunjoong Kim</x:v>
      </x:c>
      <x:c r="I28" s="24" t="str">
        <x:v>ECS Meeting Abstracts</x:v>
      </x:c>
      <x:c r="J28" s="24" t="str">
        <x:v>摘要未明确注明，需全文核查</x:v>
      </x:c>
      <x:c r="K28" s="28" t="str">
        <x:v>10.1149/ma2016-02/53/4009</x:v>
      </x:c>
      <x:c r="L28" s="28" t="str">
        <x:v>https://consensus.app/papers/a-study-on-making-a-stable-loop-profile-and-improving-nam-ryu/1111a5ac7b5d5ce78306d1a32176c09f/</x:v>
      </x:c>
      <x:c r="M28" s="28" t="str">
        <x:v>https://www.proceedings.com/content/032/032883webtoc.pdf</x:v>
      </x:c>
      <x:c r="N28" s="24" t="str">
        <x:v>已读摘要/检索摘要并核对题录；未系统阅读全文</x:v>
      </x:c>
      <x:c r="O28" s="24" t="str">
        <x:v>—</x:v>
      </x:c>
      <x:c r="P28" s="24" t="str">
        <x:v>Crossref题名与DOI精确匹配</x:v>
      </x:c>
    </x:row>
    <x:row r="29" ht="62" customHeight="1">
      <x:c r="A29" s="19" t="str">
        <x:v>L021</x:v>
      </x:c>
      <x:c r="B29" s="20" t="n">
        <x:v>2016</x:v>
      </x:c>
      <x:c r="C29" s="19" t="str">
        <x:v>直接成弧与轨迹</x:v>
      </x:c>
      <x:c r="D29" s="19" t="str">
        <x:v>补充</x:v>
      </x:c>
      <x:c r="E29" s="17" t="str">
        <x:v>Unconventional copper wirebond looping profile approach</x:v>
      </x:c>
      <x:c r="F29" s="17" t="str">
        <x:v>通过铜丝钩形弧参数调整降低颈部风险，适合对比不同材料与非常规轨迹形成机制。</x:v>
      </x:c>
      <x:c r="G29" s="17" t="str">
        <x:v>按原文线材、键合方式和封装几何使用；金丝参数与本项目瓷嘴边界需独立标定。</x:v>
      </x:c>
      <x:c r="H29" s="17" t="str">
        <x:v>Allen M. Descartin; Wei Yadong; Li Jun; Xu Xuesong; Song Zhanbin</x:v>
      </x:c>
      <x:c r="I29" s="17" t="str">
        <x:v>2016 IEEE 18th Electronics Packaging Technology Conference (EPTC)</x:v>
      </x:c>
      <x:c r="J29" s="17" t="str">
        <x:v>铜</x:v>
      </x:c>
      <x:c r="K29" s="21" t="str">
        <x:v>10.1109/eptc.2016.7861508</x:v>
      </x:c>
      <x:c r="L29" s="21" t="str">
        <x:v>https://consensus.app/papers/unconventional-copper-wirebond-looping-profile-approach-descartin-wei/5e3888e872fe5e8ca664012778d8b776/</x:v>
      </x:c>
      <x:c r="M29" s="21" t="str">
        <x:v>https://doi.org/10.1109/eptc.2016.7861508</x:v>
      </x:c>
      <x:c r="N29" s="17" t="str">
        <x:v>已读摘要/检索摘要并核对题录；未系统阅读全文</x:v>
      </x:c>
      <x:c r="O29" s="17" t="str">
        <x:v>—</x:v>
      </x:c>
      <x:c r="P29" s="17" t="str">
        <x:v>Crossref题名与DOI精确匹配</x:v>
      </x:c>
    </x:row>
    <x:row r="30" ht="62" customHeight="1">
      <x:c r="A30" s="26" t="str">
        <x:v>L022</x:v>
      </x:c>
      <x:c r="B30" s="27" t="n">
        <x:v>2015</x:v>
      </x:c>
      <x:c r="C30" s="26" t="str">
        <x:v>直接成弧与轨迹</x:v>
      </x:c>
      <x:c r="D30" s="26" t="str">
        <x:v>补充</x:v>
      </x:c>
      <x:c r="E30" s="24" t="str">
        <x:v>Development of an Ultralong Ultralow n-Loop for Wire Bonding</x:v>
      </x:c>
      <x:c r="F30" s="24" t="str">
        <x:v>提出采用阻挡件形成超长超低n形弧并以三维模型验证，可参考特殊工艺与抗下垂设计。</x:v>
      </x:c>
      <x:c r="G30" s="24" t="str">
        <x:v>按原文线材、键合方式和封装几何使用；金丝参数与本项目瓷嘴边界需独立标定。</x:v>
      </x:c>
      <x:c r="H30" s="24" t="str">
        <x:v>Fuliang Wang; Yun Chen; Lei Han</x:v>
      </x:c>
      <x:c r="I30" s="24" t="str">
        <x:v>IEEE Transactions on Semiconductor Manufacturing</x:v>
      </x:c>
      <x:c r="J30" s="24" t="str">
        <x:v>摘要未明确注明，需全文核查</x:v>
      </x:c>
      <x:c r="K30" s="28" t="str">
        <x:v>10.1109/tsm.2014.2381219</x:v>
      </x:c>
      <x:c r="L30" s="28" t="str">
        <x:v>https://consensus.app/papers/development-of-an-ultralong-ultralow-nloop-for-wire-wang-chen/addf65147cd65a77949a8dad4752778c/</x:v>
      </x:c>
      <x:c r="M30" s="28" t="str">
        <x:v>https://doi.org/10.1109/tsm.2014.2381219</x:v>
      </x:c>
      <x:c r="N30" s="24" t="str">
        <x:v>已读摘要/检索摘要并核对题录；未系统阅读全文</x:v>
      </x:c>
      <x:c r="O30" s="24" t="str">
        <x:v>—</x:v>
      </x:c>
      <x:c r="P30" s="24" t="str">
        <x:v>Crossref题名与DOI精确匹配</x:v>
      </x:c>
    </x:row>
    <x:row r="31" ht="62" customHeight="1">
      <x:c r="A31" s="19" t="str">
        <x:v>L023</x:v>
      </x:c>
      <x:c r="B31" s="20" t="n">
        <x:v>2014</x:v>
      </x:c>
      <x:c r="C31" s="19" t="str">
        <x:v>直接成弧与轨迹</x:v>
      </x:c>
      <x:c r="D31" s="23" t="str">
        <x:v>先读</x:v>
      </x:c>
      <x:c r="E31" s="17" t="str">
        <x:v>Modeling and Experimental Study of the Kink Formation Process in Wire Bonding</x:v>
      </x:c>
      <x:c r="F31" s="17" t="str">
        <x:v>通过含张力、摩擦与真实轨迹的二维动态模型分析拐点塑性及弹性芯，是塑性弯曲核心依据。</x:v>
      </x:c>
      <x:c r="G31" s="17" t="str">
        <x:v>按原文线材、键合方式和封装几何使用；金丝参数与本项目瓷嘴边界需独立标定。</x:v>
      </x:c>
      <x:c r="H31" s="17" t="str">
        <x:v>Fuliang Wang; Yun Chen; Lei Han</x:v>
      </x:c>
      <x:c r="I31" s="17" t="str">
        <x:v>IEEE Transactions on Semiconductor Manufacturing</x:v>
      </x:c>
      <x:c r="J31" s="17" t="str">
        <x:v>金丝（摘要明确注明）</x:v>
      </x:c>
      <x:c r="K31" s="21" t="str">
        <x:v>10.1109/tsm.2012.2225649</x:v>
      </x:c>
      <x:c r="L31" s="21" t="str">
        <x:v>https://consensus.app/papers/modeling-and-experimental-study-of-the-kink-formation-wang-chen/01f3191b8552592698309b81b771e4e2/</x:v>
      </x:c>
      <x:c r="M31" s="21" t="str">
        <x:v>https://doi.org/10.1109/tsm.2012.2225649</x:v>
      </x:c>
      <x:c r="N31" s="17" t="str">
        <x:v>已读摘要/检索摘要并核对题录；未系统阅读全文</x:v>
      </x:c>
      <x:c r="O31" s="17" t="str">
        <x:v>—</x:v>
      </x:c>
      <x:c r="P31" s="17" t="str">
        <x:v>Crossref题名与DOI精确匹配</x:v>
      </x:c>
    </x:row>
    <x:row r="32" ht="62" customHeight="1">
      <x:c r="A32" s="26" t="str">
        <x:v>L024</x:v>
      </x:c>
      <x:c r="B32" s="27" t="n">
        <x:v>2014</x:v>
      </x:c>
      <x:c r="C32" s="26" t="str">
        <x:v>直接成弧与轨迹</x:v>
      </x:c>
      <x:c r="D32" s="26" t="str">
        <x:v>核心</x:v>
      </x:c>
      <x:c r="E32" s="24" t="str">
        <x:v>Investigation of Complex Looping Process for Thermosonic Wire Bonding</x:v>
      </x:c>
      <x:c r="F32" s="24" t="str">
        <x:v>用三维有限元及摄影研究六拐点复杂弧形、张力和夹具动作，适合多拐点与线夹事件建模。</x:v>
      </x:c>
      <x:c r="G32" s="24" t="str">
        <x:v>按原文线材、键合方式和封装几何使用；金丝参数与本项目瓷嘴边界需独立标定。</x:v>
      </x:c>
      <x:c r="H32" s="24" t="str">
        <x:v>Fuliang Wang; Yun Chen; Lei Han</x:v>
      </x:c>
      <x:c r="I32" s="24" t="str">
        <x:v>IEEE Transactions on Semiconductor Manufacturing</x:v>
      </x:c>
      <x:c r="J32" s="24" t="str">
        <x:v>摘要未明确注明，需全文核查</x:v>
      </x:c>
      <x:c r="K32" s="28" t="str">
        <x:v>10.1109/tsm.2014.2312377</x:v>
      </x:c>
      <x:c r="L32" s="28" t="str">
        <x:v>https://consensus.app/papers/investigation-of-complex-looping-process-for-thermosonic-wang-chen/b1c3ded6f657510b8780fe2a75561063/</x:v>
      </x:c>
      <x:c r="M32" s="28" t="str">
        <x:v>https://doi.org/10.1109/tsm.2014.2312377</x:v>
      </x:c>
      <x:c r="N32" s="24" t="str">
        <x:v>已读摘要/检索摘要并核对题录；未系统阅读全文</x:v>
      </x:c>
      <x:c r="O32" s="24" t="str">
        <x:v>—</x:v>
      </x:c>
      <x:c r="P32" s="24" t="str">
        <x:v>Crossref题名与DOI精确匹配</x:v>
      </x:c>
    </x:row>
    <x:row r="33" ht="62" customHeight="1">
      <x:c r="A33" s="19" t="str">
        <x:v>L025</x:v>
      </x:c>
      <x:c r="B33" s="20" t="n">
        <x:v>2013</x:v>
      </x:c>
      <x:c r="C33" s="19" t="str">
        <x:v>直接成弧与轨迹</x:v>
      </x:c>
      <x:c r="D33" s="23" t="str">
        <x:v>先读</x:v>
      </x:c>
      <x:c r="E33" s="17" t="str">
        <x:v>Variable-Length Link-Spring Model of Wire-Bonding Looping Process</x:v>
      </x:c>
      <x:c r="F33" s="17" t="str">
        <x:v>通过变长连杆与转动弹簧及非线性迭代模拟送丝和成弧，可作为二维MVP的重要简化候选。</x:v>
      </x:c>
      <x:c r="G33" s="17" t="str">
        <x:v>按原文线材、键合方式和封装几何使用；金丝参数与本项目瓷嘴边界需独立标定。</x:v>
      </x:c>
      <x:c r="H33" s="17" t="str">
        <x:v>Fuliang Wang; Weidong Tang; Lei Han</x:v>
      </x:c>
      <x:c r="I33" s="17" t="str">
        <x:v>IEEE Transactions on Components, Packaging and Manufacturing Technology</x:v>
      </x:c>
      <x:c r="J33" s="17" t="str">
        <x:v>摘要未明确注明，需全文核查</x:v>
      </x:c>
      <x:c r="K33" s="21" t="str">
        <x:v>10.1109/tcpmt.2013.2237773</x:v>
      </x:c>
      <x:c r="L33" s="21" t="str">
        <x:v>https://consensus.app/papers/variablelength-linkspring-model-of-wirebonding-looping-wang-tang/68aed70301cc57b09df4791422c0ed8c/</x:v>
      </x:c>
      <x:c r="M33" s="21" t="str">
        <x:v>https://doi.org/10.1109/tcpmt.2013.2237773</x:v>
      </x:c>
      <x:c r="N33" s="17" t="str">
        <x:v>已读摘要/检索摘要并核对题录；未系统阅读全文</x:v>
      </x:c>
      <x:c r="O33" s="17" t="str">
        <x:v>—</x:v>
      </x:c>
      <x:c r="P33" s="17" t="str">
        <x:v>Crossref题名与DOI精确匹配</x:v>
      </x:c>
    </x:row>
    <x:row r="34" ht="62" customHeight="1">
      <x:c r="A34" s="26" t="str">
        <x:v>L026</x:v>
      </x:c>
      <x:c r="B34" s="27" t="n">
        <x:v>2013</x:v>
      </x:c>
      <x:c r="C34" s="26" t="str">
        <x:v>直接成弧与轨迹</x:v>
      </x:c>
      <x:c r="D34" s="26" t="str">
        <x:v>核心</x:v>
      </x:c>
      <x:c r="E34" s="24" t="str">
        <x:v>Experimental and Modeling Studies of Looping Process for Wire Bonding</x:v>
      </x:c>
      <x:c r="F34" s="24" t="str">
        <x:v>将真实瓷嘴几何、摩擦和气流张力纳入动态模型并进行实验对照，可借鉴完整边界条件。</x:v>
      </x:c>
      <x:c r="G34" s="24" t="str">
        <x:v>按原文线材、键合方式和封装几何使用；金丝参数与本项目瓷嘴边界需独立标定。</x:v>
      </x:c>
      <x:c r="H34" s="24" t="str">
        <x:v>Fuliang Wang; Yun Chen</x:v>
      </x:c>
      <x:c r="I34" s="24" t="str">
        <x:v>Journal of Electronic Packaging</x:v>
      </x:c>
      <x:c r="J34" s="24" t="str">
        <x:v>金丝（摘要明确注明）</x:v>
      </x:c>
      <x:c r="K34" s="28" t="str">
        <x:v>10.1115/1.4025667</x:v>
      </x:c>
      <x:c r="L34" s="28" t="str">
        <x:v>https://consensus.app/papers/experimental-and-modeling-studies-of-looping-process-for-wang-chen/de827a6ca2cf594087df86aa9fd1c315/</x:v>
      </x:c>
      <x:c r="M34" s="28" t="str">
        <x:v>https://doi.org/10.1115/1.4025667</x:v>
      </x:c>
      <x:c r="N34" s="24" t="str">
        <x:v>已读摘要/检索摘要并核对题录；未系统阅读全文</x:v>
      </x:c>
      <x:c r="O34" s="24" t="str">
        <x:v>—</x:v>
      </x:c>
      <x:c r="P34" s="24" t="str">
        <x:v>Crossref题名与DOI精确匹配</x:v>
      </x:c>
    </x:row>
    <x:row r="35" ht="62" customHeight="1">
      <x:c r="A35" s="19" t="str">
        <x:v>L027</x:v>
      </x:c>
      <x:c r="B35" s="20" t="n">
        <x:v>2013</x:v>
      </x:c>
      <x:c r="C35" s="19" t="str">
        <x:v>直接成弧与轨迹</x:v>
      </x:c>
      <x:c r="D35" s="19" t="str">
        <x:v>核心</x:v>
      </x:c>
      <x:c r="E35" s="17" t="str">
        <x:v>Modeling of Deep Cavity Looping Process on 3-D Stacked Die Package</x:v>
      </x:c>
      <x:c r="F35" s="17" t="str">
        <x:v>对深腔叠层封装建模并研究高度差与椭圆轨迹，适合评估大高度差成弧工况。</x:v>
      </x:c>
      <x:c r="G35" s="17" t="str">
        <x:v>按原文线材、键合方式和封装几何使用；金丝参数与本项目瓷嘴边界需独立标定。</x:v>
      </x:c>
      <x:c r="H35" s="17" t="str">
        <x:v>Fuliang Wang; Yun Chen; Lei Han</x:v>
      </x:c>
      <x:c r="I35" s="17" t="str">
        <x:v>IEEE Transactions on Semiconductor Manufacturing</x:v>
      </x:c>
      <x:c r="J35" s="17" t="str">
        <x:v>摘要未明确注明，需全文核查</x:v>
      </x:c>
      <x:c r="K35" s="21" t="str">
        <x:v>10.1109/tsm.2012.2234153</x:v>
      </x:c>
      <x:c r="L35" s="21" t="str">
        <x:v>https://consensus.app/papers/modeling-of-deep-cavity-looping-process-on-3d-stacked-die-wang-chen/d2f45c596d9255728fa657a983fabbaa/</x:v>
      </x:c>
      <x:c r="M35" s="21" t="str">
        <x:v>https://doi.org/10.1109/tsm.2012.2234153</x:v>
      </x:c>
      <x:c r="N35" s="17" t="str">
        <x:v>已读摘要/检索摘要并核对题录；未系统阅读全文</x:v>
      </x:c>
      <x:c r="O35" s="17" t="str">
        <x:v>—</x:v>
      </x:c>
      <x:c r="P35" s="17" t="str">
        <x:v>Crossref题名与DOI精确匹配</x:v>
      </x:c>
    </x:row>
    <x:row r="36" ht="62" customHeight="1">
      <x:c r="A36" s="26" t="str">
        <x:v>L028</x:v>
      </x:c>
      <x:c r="B36" s="27" t="n">
        <x:v>2012</x:v>
      </x:c>
      <x:c r="C36" s="26" t="str">
        <x:v>直接成弧与轨迹</x:v>
      </x:c>
      <x:c r="D36" s="26" t="str">
        <x:v>核心</x:v>
      </x:c>
      <x:c r="E36" s="24" t="str">
        <x:v>Effect of Capillary Trace on Dynamic Loop Profile Evolution in Thermosonic Wire Bonding</x:v>
      </x:c>
      <x:c r="F36" s="24" t="str">
        <x:v>以高速摄影及有限元比较上升下降轨迹对弧形和应力的影响，可用于动态过程验证。</x:v>
      </x:c>
      <x:c r="G36" s="24" t="str">
        <x:v>按原文线材、键合方式和封装几何使用；金丝参数与本项目瓷嘴边界需独立标定。</x:v>
      </x:c>
      <x:c r="H36" s="24" t="str">
        <x:v>Fuliang Wang; Yun Chen; Lei Han</x:v>
      </x:c>
      <x:c r="I36" s="24" t="str">
        <x:v>IEEE Transactions on Components, Packaging and Manufacturing Technology</x:v>
      </x:c>
      <x:c r="J36" s="24" t="str">
        <x:v>摘要未明确注明，需全文核查</x:v>
      </x:c>
      <x:c r="K36" s="28" t="str">
        <x:v>10.1109/tcpmt.2012.2206593</x:v>
      </x:c>
      <x:c r="L36" s="28" t="str">
        <x:v>https://consensus.app/papers/effect-of-capillary-trace-on-dynamic-loop-profile-wang-chen/5fe5f7d3e80259da84207b1667fb14d2/</x:v>
      </x:c>
      <x:c r="M36" s="28" t="str">
        <x:v>https://doi.org/10.1109/tcpmt.2012.2206593</x:v>
      </x:c>
      <x:c r="N36" s="24" t="str">
        <x:v>已读摘要/检索摘要并核对题录；未系统阅读全文</x:v>
      </x:c>
      <x:c r="O36" s="24" t="str">
        <x:v>—</x:v>
      </x:c>
      <x:c r="P36" s="24" t="str">
        <x:v>Crossref题名与DOI精确匹配</x:v>
      </x:c>
    </x:row>
    <x:row r="37" ht="62" customHeight="1">
      <x:c r="A37" s="19" t="str">
        <x:v>L029</x:v>
      </x:c>
      <x:c r="B37" s="20" t="n">
        <x:v>2012</x:v>
      </x:c>
      <x:c r="C37" s="19" t="str">
        <x:v>直接成弧与轨迹</x:v>
      </x:c>
      <x:c r="D37" s="19" t="str">
        <x:v>核心</x:v>
      </x:c>
      <x:c r="E37" s="17" t="str">
        <x:v>Experiment study of dynamic looping process for thermosonic wire bonding</x:v>
      </x:c>
      <x:c r="F37" s="17" t="str">
        <x:v>以高速摄影提取瓷嘴与键合线弧形演化，讨论回弹和拐点形成，可作过程校准依据。</x:v>
      </x:c>
      <x:c r="G37" s="17" t="str">
        <x:v>按原文线材、键合方式和封装几何使用；金丝参数与本项目瓷嘴边界需独立标定。</x:v>
      </x:c>
      <x:c r="H37" s="17" t="str">
        <x:v>Fuliang Wang; Yun Chen; Lei Han</x:v>
      </x:c>
      <x:c r="I37" s="17" t="str">
        <x:v>Microelectronics Reliability</x:v>
      </x:c>
      <x:c r="J37" s="17" t="str">
        <x:v>摘要未明确注明，需全文核查</x:v>
      </x:c>
      <x:c r="K37" s="21" t="str">
        <x:v>10.1016/j.microrel.2012.01.014</x:v>
      </x:c>
      <x:c r="L37" s="21" t="str">
        <x:v>https://consensus.app/papers/experiment-study-of-dynamic-looping-process-for-wang-chen/d313708312895a628c06077a01db7bb3/</x:v>
      </x:c>
      <x:c r="M37" s="21" t="str">
        <x:v>https://www.sciencedirect.com/science/article/abs/pii/S0026271412000169</x:v>
      </x:c>
      <x:c r="N37" s="17" t="str">
        <x:v>已读摘要/检索摘要并核对题录；未系统阅读全文</x:v>
      </x:c>
      <x:c r="O37" s="17" t="str">
        <x:v>—</x:v>
      </x:c>
      <x:c r="P37" s="17" t="str">
        <x:v>Crossref题名与DOI精确匹配</x:v>
      </x:c>
    </x:row>
    <x:row r="38" ht="62" customHeight="1">
      <x:c r="A38" s="26" t="str">
        <x:v>L030</x:v>
      </x:c>
      <x:c r="B38" s="27" t="n">
        <x:v>2004</x:v>
      </x:c>
      <x:c r="C38" s="26" t="str">
        <x:v>直接成弧与轨迹</x:v>
      </x:c>
      <x:c r="D38" s="26" t="str">
        <x:v>核心</x:v>
      </x:c>
      <x:c r="E38" s="24" t="str">
        <x:v>Study of wire bonding looping formation in the electronic packaging process using the three-dimensional finite element method</x:v>
      </x:c>
      <x:c r="F38" s="24" t="str">
        <x:v>以键合线热影响区微拉伸和温度相关弹塑性模拟三角及梯形弧，可借鉴材料区域化处理。</x:v>
      </x:c>
      <x:c r="G38" s="24" t="str">
        <x:v>按原文线材、键合方式和封装几何使用；金丝参数与本项目瓷嘴边界需独立标定。</x:v>
      </x:c>
      <x:c r="H38" s="24" t="str">
        <x:v>D.S Liu; Y.C Chao; C.H Wang</x:v>
      </x:c>
      <x:c r="I38" s="24" t="str">
        <x:v>Finite Elements in Analysis and Design</x:v>
      </x:c>
      <x:c r="J38" s="24" t="str">
        <x:v>摘要未明确注明，需全文核查</x:v>
      </x:c>
      <x:c r="K38" s="28" t="str">
        <x:v>10.1016/s0168-874x(02)00226-3</x:v>
      </x:c>
      <x:c r="L38" s="28" t="str">
        <x:v>https://consensus.app/papers/study-of-wire-bonding-looping-formation-in-the-electronic-liu-chao/af93da0957c05f76bcccd2e719726a73/</x:v>
      </x:c>
      <x:c r="M38" s="28" t="str">
        <x:v>https://doi.org/10.1016/s0168-874x(02)00226-3</x:v>
      </x:c>
      <x:c r="N38" s="24" t="str">
        <x:v>已读摘要/检索摘要并核对题录；未系统阅读全文</x:v>
      </x:c>
      <x:c r="O38" s="24" t="str">
        <x:v>按期刊正式卷期采用2004；原检索索引给出2003。</x:v>
      </x:c>
      <x:c r="P38" s="24" t="str">
        <x:v>Crossref题名与DOI精确匹配</x:v>
      </x:c>
    </x:row>
    <x:row r="39" ht="62" customHeight="1">
      <x:c r="A39" s="19" t="str">
        <x:v>L031</x:v>
      </x:c>
      <x:c r="B39" s="20" t="n">
        <x:v>2004</x:v>
      </x:c>
      <x:c r="C39" s="19" t="str">
        <x:v>直接成弧与轨迹</x:v>
      </x:c>
      <x:c r="D39" s="19" t="str">
        <x:v>补充</x:v>
      </x:c>
      <x:c r="E39" s="17" t="str">
        <x:v>Advanced wire bond looping technology for emerging packages</x:v>
      </x:c>
      <x:c r="F39" s="17" t="str">
        <x:v>比较正向、反向、折叠及横向轨迹的弧高、效率和抗扫丝性能，可提供工艺轨迹分类依据。</x:v>
      </x:c>
      <x:c r="G39" s="17" t="str">
        <x:v>按原文线材、键合方式和封装几何使用；金丝参数与本项目瓷嘴边界需独立标定。</x:v>
      </x:c>
      <x:c r="H39" s="17" t="str">
        <x:v>J. Brunner; I. Wei Qin; B. Chylak</x:v>
      </x:c>
      <x:c r="I39" s="17" t="str">
        <x:v>IEEE/CPMT/SEMI 29th International Electronics Manufacturing Technology Symposium (IEEE Cat. No.04CH37585)</x:v>
      </x:c>
      <x:c r="J39" s="17" t="str">
        <x:v>铜丝等</x:v>
      </x:c>
      <x:c r="K39" s="21" t="str">
        <x:v>10.1109/iemt.2004.1321637</x:v>
      </x:c>
      <x:c r="L39" s="21" t="str">
        <x:v>https://consensus.app/papers/advanced-wire-bond-looping-technology-for-emerging-brunner-qin/89c3e19204b95e66a27dfbe8c914d09b/</x:v>
      </x:c>
      <x:c r="M39" s="21" t="str">
        <x:v>https://doi.org/10.1109/iemt.2004.1321637</x:v>
      </x:c>
      <x:c r="N39" s="17" t="str">
        <x:v>已读摘要/检索摘要并核对题录；未系统阅读全文</x:v>
      </x:c>
      <x:c r="O39" s="17" t="str">
        <x:v>—</x:v>
      </x:c>
      <x:c r="P39" s="17" t="str">
        <x:v>Crossref题名与DOI精确匹配</x:v>
      </x:c>
    </x:row>
    <x:row r="40" ht="62" customHeight="1">
      <x:c r="A40" s="26" t="str">
        <x:v>L032</x:v>
      </x:c>
      <x:c r="B40" s="27" t="n">
        <x:v>2002</x:v>
      </x:c>
      <x:c r="C40" s="26" t="str">
        <x:v>直接成弧与轨迹</x:v>
      </x:c>
      <x:c r="D40" s="26" t="str">
        <x:v>补充</x:v>
      </x:c>
      <x:c r="E40" s="24" t="str">
        <x:v>Three dimensional finite element simulation of wire looping process in wirebonding</x:v>
      </x:c>
      <x:c r="F40" s="24" t="str">
        <x:v>三维模拟瓷嘴与键合线自由接触、张力及第二焊点抬升效应，可补充接触边界参考。</x:v>
      </x:c>
      <x:c r="G40" s="24" t="str">
        <x:v>按原文线材、键合方式和封装几何使用；金丝参数与本项目瓷嘴边界需独立标定。</x:v>
      </x:c>
      <x:c r="H40" s="24" t="str">
        <x:v>B.H. Ng; A.A.O. Tay; S.H. Ong</x:v>
      </x:c>
      <x:c r="I40" s="24" t="str">
        <x:v>4th Electronics Packaging Technology Conference, 2002.</x:v>
      </x:c>
      <x:c r="J40" s="24" t="str">
        <x:v>摘要未明确注明，需全文核查</x:v>
      </x:c>
      <x:c r="K40" s="28" t="str">
        <x:v>10.1109/eptc.2002.1185693</x:v>
      </x:c>
      <x:c r="L40" s="28" t="str">
        <x:v>https://consensus.app/papers/three-dimensional-finite-element-simulation-of-wire-ng-tay/5ff1128ef0545527ba2eb12b4397a21f/</x:v>
      </x:c>
      <x:c r="M40" s="28" t="str">
        <x:v>https://doi.org/10.1109/eptc.2002.1185693</x:v>
      </x:c>
      <x:c r="N40" s="24" t="str">
        <x:v>已读摘要/检索摘要并核对题录；未系统阅读全文</x:v>
      </x:c>
      <x:c r="O40" s="24" t="str">
        <x:v>—</x:v>
      </x:c>
      <x:c r="P40" s="24" t="str">
        <x:v>Crossref题名与DOI精确匹配</x:v>
      </x:c>
    </x:row>
    <x:row r="41" ht="62" customHeight="1">
      <x:c r="A41" s="19" t="str">
        <x:v>L033</x:v>
      </x:c>
      <x:c r="B41" s="20" t="n">
        <x:v>2001</x:v>
      </x:c>
      <x:c r="C41" s="19" t="str">
        <x:v>直接成弧与轨迹</x:v>
      </x:c>
      <x:c r="D41" s="23" t="str">
        <x:v>先读</x:v>
      </x:c>
      <x:c r="E41" s="17" t="str">
        <x:v>Linkage-spring model in analyzing wirebonding loops</x:v>
      </x:c>
      <x:c r="F41" s="17" t="str">
        <x:v>以铰链和弹塑性弹簧描述键合线的大转动，适合学习低成本成弧模型与实验验证。</x:v>
      </x:c>
      <x:c r="G41" s="17" t="str">
        <x:v>早期集总模型；参数识别、送丝与接触机制需结合后续变长杆模型补充。</x:v>
      </x:c>
      <x:c r="H41" s="17" t="str">
        <x:v>Yu-Lung Lo; Tien-Lou Ho; Jau-Liang Chen; Rong-Shean Lee; Tei-Chen Chen</x:v>
      </x:c>
      <x:c r="I41" s="17" t="str">
        <x:v>IEEE Transactions on Components and Packaging Technologies</x:v>
      </x:c>
      <x:c r="J41" s="17" t="str">
        <x:v>键合金属细丝</x:v>
      </x:c>
      <x:c r="K41" s="21" t="str">
        <x:v>10.1109/6144.946493</x:v>
      </x:c>
      <x:c r="L41" s="21" t="str">
        <x:v>https://consensus.app/papers/linkagespring-model-in-analyzing-wirebonding-loops-lo-hồ/04d912ce2cae5ce2916ffe4490c1c1b8/</x:v>
      </x:c>
      <x:c r="M41" s="21" t="str">
        <x:v>https://doi.org/10.1109/6144.946493</x:v>
      </x:c>
      <x:c r="N41" s="17" t="str">
        <x:v>已读摘要/检索摘要并核对题录；未系统阅读全文</x:v>
      </x:c>
      <x:c r="O41" s="17" t="str">
        <x:v>—</x:v>
      </x:c>
      <x:c r="P41" s="17" t="str">
        <x:v>Crossref题名与DOI精确匹配</x:v>
      </x:c>
    </x:row>
    <x:row r="42" ht="62" customHeight="1">
      <x:c r="A42" s="26" t="str">
        <x:v>L034</x:v>
      </x:c>
      <x:c r="B42" s="27" t="n">
        <x:v>2025</x:v>
      </x:c>
      <x:c r="C42" s="26" t="str">
        <x:v>材料与键合边界</x:v>
      </x:c>
      <x:c r="D42" s="26" t="str">
        <x:v>核心</x:v>
      </x:c>
      <x:c r="E42" s="24" t="str">
        <x:v>Fine Gold and Coated-Ag Bonding Wire: Vertical Wire Bonding</x:v>
      </x:c>
      <x:c r="F42" s="24" t="str">
        <x:v>比较线径、延伸率、毛细管及垂直成形精度，可参考细金丝轨迹与形状验证。</x:v>
      </x:c>
      <x:c r="G42" s="24" t="str">
        <x:v>用作材料标定或焊点约束参考；区分金、银、铜和粗铝线，其他材料参数不能替代金丝。</x:v>
      </x:c>
      <x:c r="H42" s="24" t="str">
        <x:v>Sarangapani Murali; Dhayalan Mariyappan; Turiano Alejandro Jr Advincula; Chong Mei Joanne Hoe; Lim Yee Evonne Weon; Kang Sungsig SS</x:v>
      </x:c>
      <x:c r="I42" s="24" t="str">
        <x:v>IMAPSource Proceedings</x:v>
      </x:c>
      <x:c r="J42" s="24" t="str">
        <x:v>Au/Ag/Cu</x:v>
      </x:c>
      <x:c r="K42" s="28" t="str">
        <x:v>10.4071/001c.129760</x:v>
      </x:c>
      <x:c r="L42" s="28" t="str">
        <x:v>https://consensus.app/papers/fine-gold-and-coatedag-bonding-wire-vertical-wire-bonding-murali-mariyappan/94deeed3cdbf5bffa25a5a1478c950a9/</x:v>
      </x:c>
      <x:c r="M42" s="28" t="str">
        <x:v>https://imapsource.org/article/129760.pdf</x:v>
      </x:c>
      <x:c r="N42" s="24" t="str">
        <x:v>已读摘要/检索摘要并核对题录；未系统阅读全文</x:v>
      </x:c>
      <x:c r="O42" s="24" t="str">
        <x:v>2024 Symposium卷号；正式出版与出版商建议引用年份为2025。</x:v>
      </x:c>
      <x:c r="P42" s="24" t="str">
        <x:v>Crossref题名与DOI精确匹配</x:v>
      </x:c>
    </x:row>
    <x:row r="43" ht="62" customHeight="1">
      <x:c r="A43" s="19" t="str">
        <x:v>L035</x:v>
      </x:c>
      <x:c r="B43" s="20" t="n">
        <x:v>2025</x:v>
      </x:c>
      <x:c r="C43" s="19" t="str">
        <x:v>材料与键合边界</x:v>
      </x:c>
      <x:c r="D43" s="19" t="str">
        <x:v>补充</x:v>
      </x:c>
      <x:c r="E43" s="17" t="str">
        <x:v>Modelling of ultrasonic bonding process and parameter effect on gold wire balloons</x:v>
      </x:c>
      <x:c r="F43" s="17" t="str">
        <x:v>金球弹塑性与超声接触有限元用于理解第一焊点载荷边界，非完整成弧求解。</x:v>
      </x:c>
      <x:c r="G43" s="17" t="str">
        <x:v>用作材料标定或焊点约束参考；区分金、银、铜和粗铝线，其他材料参数不能替代金丝。</x:v>
      </x:c>
      <x:c r="H43" s="17" t="str">
        <x:v>Hechao Li; Kui Li; Yanwei Dai; Fei Qin; Daowei Wu</x:v>
      </x:c>
      <x:c r="I43" s="17" t="str">
        <x:v>2025 26th International Conference on Electronic Packaging Technology (ICEPT)</x:v>
      </x:c>
      <x:c r="J43" s="17" t="str">
        <x:v>Au</x:v>
      </x:c>
      <x:c r="K43" s="21" t="str">
        <x:v>10.1109/icept67137.2025.11157274</x:v>
      </x:c>
      <x:c r="L43" s="21" t="str">
        <x:v>https://consensus.app/papers/modelling-of-ultrasonic-bonding-process-and-parameter-li-li/a0924ba8682d5648bab291ec54af5573/</x:v>
      </x:c>
      <x:c r="M43" s="21" t="str">
        <x:v>https://cn.icept.org/PDC%E4%B8%AD%E6%96%87/Accepted%20Abstract%201/ICEPT%202025%20Accepted%20Abstract.pdf</x:v>
      </x:c>
      <x:c r="N43" s="17" t="str">
        <x:v>已读摘要/检索摘要并核对题录；未系统阅读全文</x:v>
      </x:c>
      <x:c r="O43" s="17" t="str">
        <x:v>—</x:v>
      </x:c>
      <x:c r="P43" s="17" t="str">
        <x:v>Crossref题名与DOI精确匹配</x:v>
      </x:c>
    </x:row>
    <x:row r="44" ht="76" customHeight="1">
      <x:c r="A44" s="26" t="str">
        <x:v>L036</x:v>
      </x:c>
      <x:c r="B44" s="27" t="n">
        <x:v>2024</x:v>
      </x:c>
      <x:c r="C44" s="26" t="str">
        <x:v>材料与键合边界</x:v>
      </x:c>
      <x:c r="D44" s="26" t="str">
        <x:v>补充</x:v>
      </x:c>
      <x:c r="E44" s="24" t="str">
        <x:v>Acoustic softening characterization to improve copper wire bonding FEM simulation</x:v>
      </x:c>
      <x:c r="F44" s="24" t="str">
        <x:v>铜球声软化实验旨在改进有限元标定；方法可迁移，金丝需独立测量软化参数。</x:v>
      </x:c>
      <x:c r="G44" s="24" t="str">
        <x:v>用作材料标定或焊点约束参考；区分金、银、铜和粗铝线，其他材料参数不能替代金丝。</x:v>
      </x:c>
      <x:c r="H44" s="24" t="str">
        <x:v>L. Guarino; C. Caglio; B. Carasi; M. Alesi; R. Villa; L. Cecchetto</x:v>
      </x:c>
      <x:c r="I44" s="24" t="str">
        <x:v>2024 25th International Conference on Thermal, Mechanical and Multi-Physics Simulation and Experiments in Microelectronics and Microsystems (EuroSimE)</x:v>
      </x:c>
      <x:c r="J44" s="24" t="str">
        <x:v>Cu</x:v>
      </x:c>
      <x:c r="K44" s="28" t="str">
        <x:v>10.1109/eurosime60745.2024.10491488</x:v>
      </x:c>
      <x:c r="L44" s="28" t="str">
        <x:v>https://consensus.app/papers/acoustic-softening-characterization-to-improve-copper-guarino-caglio/12e9876301cb57f1a6e662298b79192c/</x:v>
      </x:c>
      <x:c r="M44" s="28" t="str">
        <x:v>https://ieeexplore.ieee.org/document/10491488/</x:v>
      </x:c>
      <x:c r="N44" s="24" t="str">
        <x:v>已读摘要/检索摘要并核对题录；未系统阅读全文</x:v>
      </x:c>
      <x:c r="O44" s="24" t="str">
        <x:v>—</x:v>
      </x:c>
      <x:c r="P44" s="24" t="str">
        <x:v>Crossref题名与DOI精确匹配</x:v>
      </x:c>
    </x:row>
    <x:row r="45" ht="62" customHeight="1">
      <x:c r="A45" s="19" t="str">
        <x:v>L037</x:v>
      </x:c>
      <x:c r="B45" s="20" t="n">
        <x:v>2024</x:v>
      </x:c>
      <x:c r="C45" s="19" t="str">
        <x:v>材料与键合边界</x:v>
      </x:c>
      <x:c r="D45" s="19" t="str">
        <x:v>补充</x:v>
      </x:c>
      <x:c r="E45" s="17" t="str">
        <x:v>Microstructure and forming mechanism of metals subjected to ultrasonic vibration plastic forming: A mini review</x:v>
      </x:c>
      <x:c r="F45" s="17" t="str">
        <x:v>按晶体结构综述超声塑性与组织变化，可辅助金的声软化模型选型，非成弧算法。</x:v>
      </x:c>
      <x:c r="G45" s="17" t="str">
        <x:v>用作材料标定或焊点约束参考；区分金、银、铜和粗铝线，其他材料参数不能替代金丝。</x:v>
      </x:c>
      <x:c r="H45" s="17" t="str">
        <x:v>Qinghe Cui; Xuefeng Liu; Wenjing Wang; Shaojie Tian; Vasili Rubanik; Vasili Rubanik; Dzmitry Bahrets</x:v>
      </x:c>
      <x:c r="I45" s="17" t="str">
        <x:v>International Journal of Minerals, Metallurgy and Materials</x:v>
      </x:c>
      <x:c r="J45" s="17" t="str">
        <x:v>通用金属（含FCC Au）</x:v>
      </x:c>
      <x:c r="K45" s="21" t="str">
        <x:v>10.1007/s12613-023-2745-z</x:v>
      </x:c>
      <x:c r="L45" s="21" t="str">
        <x:v>https://doi.org/10.1007/s12613-023-2745-z</x:v>
      </x:c>
      <x:c r="M45" s="21" t="str">
        <x:v>https://doi.org/10.1007/s12613-023-2745-z</x:v>
      </x:c>
      <x:c r="N45" s="17" t="str">
        <x:v>已读摘要/检索摘要并核对题录；未系统阅读全文</x:v>
      </x:c>
      <x:c r="O45" s="17" t="str">
        <x:v>—</x:v>
      </x:c>
      <x:c r="P45" s="17" t="str">
        <x:v>Crossref题名与DOI精确匹配</x:v>
      </x:c>
    </x:row>
    <x:row r="46" ht="62" customHeight="1">
      <x:c r="A46" s="26" t="str">
        <x:v>L038</x:v>
      </x:c>
      <x:c r="B46" s="27" t="n">
        <x:v>2023</x:v>
      </x:c>
      <x:c r="C46" s="26" t="str">
        <x:v>材料与键合边界</x:v>
      </x:c>
      <x:c r="D46" s="26" t="str">
        <x:v>核心</x:v>
      </x:c>
      <x:c r="E46" s="24" t="str">
        <x:v>Research Progress on Bonding Wire for Microelectronic Packaging</x:v>
      </x:c>
      <x:c r="F46" s="24" t="str">
        <x:v>综述线材加工与性能差异，为金丝材料状态、线径与成弧稳定性选型提供入口。</x:v>
      </x:c>
      <x:c r="G46" s="24" t="str">
        <x:v>用作材料标定或焊点约束参考；区分金、银、铜和粗铝线，其他材料参数不能替代金丝。</x:v>
      </x:c>
      <x:c r="H46" s="24" t="str">
        <x:v>Hongliang Zhou; Yingchong Zhang; Jun Cao; Chenghao Su; Chong Li; Andong Chang; Bin An</x:v>
      </x:c>
      <x:c r="I46" s="24" t="str">
        <x:v>Micromachines</x:v>
      </x:c>
      <x:c r="J46" s="24" t="str">
        <x:v>Au/Cu/Ag</x:v>
      </x:c>
      <x:c r="K46" s="28" t="str">
        <x:v>10.3390/mi14020432</x:v>
      </x:c>
      <x:c r="L46" s="28" t="str">
        <x:v>https://consensus.app/papers/research-progress-on-bonding-wire-for-microelectronic-zhou-zhang/0529dccf68225380b09fea250fd2bdb1/</x:v>
      </x:c>
      <x:c r="M46" s="28" t="str">
        <x:v>https://www.mdpi.com/2072-666X/14/2/432</x:v>
      </x:c>
      <x:c r="N46" s="24" t="str">
        <x:v>已读摘要/检索摘要并核对题录；未系统阅读全文</x:v>
      </x:c>
      <x:c r="O46" s="24" t="str">
        <x:v>—</x:v>
      </x:c>
      <x:c r="P46" s="24" t="str">
        <x:v>Crossref题名与DOI精确匹配</x:v>
      </x:c>
    </x:row>
    <x:row r="47" ht="62" customHeight="1">
      <x:c r="A47" s="19" t="str">
        <x:v>L039</x:v>
      </x:c>
      <x:c r="B47" s="20" t="n">
        <x:v>2023</x:v>
      </x:c>
      <x:c r="C47" s="19" t="str">
        <x:v>材料与键合边界</x:v>
      </x:c>
      <x:c r="D47" s="19" t="str">
        <x:v>补充</x:v>
      </x:c>
      <x:c r="E47" s="17" t="str">
        <x:v>A Review of Silver Wire Bonding Techniques</x:v>
      </x:c>
      <x:c r="F47" s="17" t="str">
        <x:v>梳理银丝制造与键合参数影响；仅迁移实验和评估方法，需重新标定金丝参数。</x:v>
      </x:c>
      <x:c r="G47" s="17" t="str">
        <x:v>用作材料标定或焊点约束参考；区分金、银、铜和粗铝线，其他材料参数不能替代金丝。</x:v>
      </x:c>
      <x:c r="H47" s="17" t="str">
        <x:v>Bin An; Hongliang Zhou; Jun Cao; Pingmei Ming; John Persic; Jingguang Yao; Andong Chang</x:v>
      </x:c>
      <x:c r="I47" s="17" t="str">
        <x:v>Micromachines</x:v>
      </x:c>
      <x:c r="J47" s="17" t="str">
        <x:v>Ag/Ag合金/镀层Ag</x:v>
      </x:c>
      <x:c r="K47" s="21" t="str">
        <x:v>10.3390/mi14112129</x:v>
      </x:c>
      <x:c r="L47" s="21" t="str">
        <x:v>https://consensus.app/papers/a-review-of-silver-wire-bonding-techniques-an-zhou/aee665348db7572dace88481959e6e2e/</x:v>
      </x:c>
      <x:c r="M47" s="21" t="str">
        <x:v>https://www.mdpi.com/2072-666X/14/11/2129/html</x:v>
      </x:c>
      <x:c r="N47" s="17" t="str">
        <x:v>已读摘要/检索摘要并核对题录；未系统阅读全文</x:v>
      </x:c>
      <x:c r="O47" s="17" t="str">
        <x:v>—</x:v>
      </x:c>
      <x:c r="P47" s="17" t="str">
        <x:v>Crossref题名与DOI精确匹配</x:v>
      </x:c>
    </x:row>
    <x:row r="48" ht="62" customHeight="1">
      <x:c r="A48" s="26" t="str">
        <x:v>L040</x:v>
      </x:c>
      <x:c r="B48" s="27" t="n">
        <x:v>2022</x:v>
      </x:c>
      <x:c r="C48" s="26" t="str">
        <x:v>材料与键合边界</x:v>
      </x:c>
      <x:c r="D48" s="23" t="str">
        <x:v>先读</x:v>
      </x:c>
      <x:c r="E48" s="24" t="str">
        <x:v>Effect of Mechanical Characteristics of Gold Wire on Microstructure and Properties of Ball Bonding</x:v>
      </x:c>
      <x:c r="F48" s="24" t="str">
        <x:v>直接比较不同力学状态金丝的弧形与热影响区，适合成弧本构标定及形状验证。</x:v>
      </x:c>
      <x:c r="G48" s="24" t="str">
        <x:v>用作材料标定或焊点约束参考；区分金、银、铜和粗铝线，其他材料参数不能替代金丝。</x:v>
      </x:c>
      <x:c r="H48" s="24" t="str">
        <x:v>Kang Feifei; Zhou Wenyan; Yu Jianshu; Ji Xingqiao; Wang Jia; Chen Xubo; Luo Jianqiang; Liang Chen; Wu Yongjin; Pei Hongying</x:v>
      </x:c>
      <x:c r="I48" s="24" t="str">
        <x:v>Rare Metal Materials and Engineering</x:v>
      </x:c>
      <x:c r="J48" s="24" t="str">
        <x:v>Au</x:v>
      </x:c>
      <x:c r="K48" s="28" t="str">
        <x:v>未确认</x:v>
      </x:c>
      <x:c r="L48" s="28" t="str">
        <x:v>https://rmme.ijournals.cn/rmme/article/html/20210875?st=search</x:v>
      </x:c>
      <x:c r="M48" s="28" t="str">
        <x:v>https://rmme.ijournals.cn/rmme/article/html/20210875?st=search</x:v>
      </x:c>
      <x:c r="N48" s="24" t="str">
        <x:v>已读摘要/检索摘要并核对题录；未系统阅读全文</x:v>
      </x:c>
      <x:c r="O48" s="24" t="str">
        <x:v>—</x:v>
      </x:c>
      <x:c r="P48" s="24" t="str">
        <x:v>出版商/会议原记录核对</x:v>
      </x:c>
    </x:row>
    <x:row r="49" ht="62" customHeight="1">
      <x:c r="A49" s="19" t="str">
        <x:v>L041</x:v>
      </x:c>
      <x:c r="B49" s="20" t="n">
        <x:v>2022</x:v>
      </x:c>
      <x:c r="C49" s="19" t="str">
        <x:v>材料与键合边界</x:v>
      </x:c>
      <x:c r="D49" s="19" t="str">
        <x:v>补充</x:v>
      </x:c>
      <x:c r="E49" s="17" t="str">
        <x:v>Au Wire Ball Welding and Its Reliability Test for High-Temperature Environment</x:v>
      </x:c>
      <x:c r="F49" s="17" t="str">
        <x:v>提供金丝球焊拉力、断裂位置和焊点补强试验，可参考成弧后约束与验证方法。</x:v>
      </x:c>
      <x:c r="G49" s="17" t="str">
        <x:v>用作材料标定或焊点约束参考；区分金、银、铜和粗铝线，其他材料参数不能替代金丝。</x:v>
      </x:c>
      <x:c r="H49" s="17" t="str">
        <x:v>Chenyang Wu; Junqiang Wang; Xiaofei Liu; Mengwei Li; Zehua Zhu; Yue Qi</x:v>
      </x:c>
      <x:c r="I49" s="17" t="str">
        <x:v>Micromachines</x:v>
      </x:c>
      <x:c r="J49" s="17" t="str">
        <x:v>Au</x:v>
      </x:c>
      <x:c r="K49" s="21" t="str">
        <x:v>10.3390/mi13101603</x:v>
      </x:c>
      <x:c r="L49" s="21" t="str">
        <x:v>https://www.mdpi.com/2072-666X/13/10/1603</x:v>
      </x:c>
      <x:c r="M49" s="21" t="str">
        <x:v>https://www.mdpi.com/2072-666X/13/10/1603</x:v>
      </x:c>
      <x:c r="N49" s="17" t="str">
        <x:v>已读摘要/检索摘要并核对题录；未系统阅读全文</x:v>
      </x:c>
      <x:c r="O49" s="17" t="str">
        <x:v>—</x:v>
      </x:c>
      <x:c r="P49" s="17" t="str">
        <x:v>Crossref题名与DOI精确匹配</x:v>
      </x:c>
    </x:row>
    <x:row r="50" ht="62" customHeight="1">
      <x:c r="A50" s="26" t="str">
        <x:v>L042</x:v>
      </x:c>
      <x:c r="B50" s="27" t="n">
        <x:v>2020</x:v>
      </x:c>
      <x:c r="C50" s="26" t="str">
        <x:v>材料与键合边界</x:v>
      </x:c>
      <x:c r="D50" s="26" t="str">
        <x:v>补充</x:v>
      </x:c>
      <x:c r="E50" s="24" t="str">
        <x:v>Contact mechanics and friction processes in ultrasonic wire bonding - Basic theories and experimental investigations</x:v>
      </x:c>
      <x:c r="F50" s="24" t="str">
        <x:v>研究线材与基板及工具界面的接触摩擦，可指导粘滑参数识别，需复核金球焊适用性。</x:v>
      </x:c>
      <x:c r="G50" s="24" t="str">
        <x:v>用作材料标定或焊点约束参考；区分金、银、铜和粗铝线，其他材料参数不能替代金丝。</x:v>
      </x:c>
      <x:c r="H50" s="24" t="str">
        <x:v>Yangyang Long; Jens Twiefel; Jörg Wallaschek</x:v>
      </x:c>
      <x:c r="I50" s="24" t="str">
        <x:v>Journal of Sound and Vibration</x:v>
      </x:c>
      <x:c r="J50" s="24" t="str">
        <x:v>通用键合线（材料须阅读全文确认）</x:v>
      </x:c>
      <x:c r="K50" s="28" t="str">
        <x:v>10.1016/j.jsv.2019.115021</x:v>
      </x:c>
      <x:c r="L50" s="28" t="str">
        <x:v>https://www.sciencedirect.com/science/article/abs/pii/S0022460X1930584X</x:v>
      </x:c>
      <x:c r="M50" s="28" t="str">
        <x:v>https://www.sciencedirect.com/science/article/abs/pii/S0022460X1930584X</x:v>
      </x:c>
      <x:c r="N50" s="24" t="str">
        <x:v>已读摘要/检索摘要并核对题录；未系统阅读全文</x:v>
      </x:c>
      <x:c r="O50" s="24" t="str">
        <x:v>—</x:v>
      </x:c>
      <x:c r="P50" s="24" t="str">
        <x:v>Crossref题名与DOI精确匹配</x:v>
      </x:c>
    </x:row>
    <x:row r="51" ht="62" customHeight="1">
      <x:c r="A51" s="19" t="str">
        <x:v>L043</x:v>
      </x:c>
      <x:c r="B51" s="20" t="n">
        <x:v>2019</x:v>
      </x:c>
      <x:c r="C51" s="19" t="str">
        <x:v>材料与键合边界</x:v>
      </x:c>
      <x:c r="D51" s="23" t="str">
        <x:v>先读</x:v>
      </x:c>
      <x:c r="E51" s="17" t="str">
        <x:v>The combined effects of grain and sample sizes on the mechanical properties and fracture modes of gold microwires</x:v>
      </x:c>
      <x:c r="F51" s="17" t="str">
        <x:v>研究金微丝晶粒与线径耦合对屈服及加工硬化的影响，可指导材料尺寸标定。</x:v>
      </x:c>
      <x:c r="G51" s="17" t="str">
        <x:v>用作材料标定或焊点约束参考；区分金、银、铜和粗铝线，其他材料参数不能替代金丝。</x:v>
      </x:c>
      <x:c r="H51" s="17" t="str">
        <x:v>H.K. Yang; K. Cao; Y. Han; M. Wen; J.M. Guo; Z.L. Tan; J. Lu; Y. Lu</x:v>
      </x:c>
      <x:c r="I51" s="17" t="str">
        <x:v>Journal of Materials Science &amp;amp; Technology</x:v>
      </x:c>
      <x:c r="J51" s="17" t="str">
        <x:v>Au</x:v>
      </x:c>
      <x:c r="K51" s="21" t="str">
        <x:v>10.1016/j.jmst.2018.09.012</x:v>
      </x:c>
      <x:c r="L51" s="21" t="str">
        <x:v>https://consensus.app/papers/the-combined-effects-of-grain-and-sample-sizes-on-the-yang-cao/799a559f9fbd53a1927dbf7824481143/</x:v>
      </x:c>
      <x:c r="M51" s="21" t="str">
        <x:v>https://www.jmst.org/EN/10.1016/j.jmst.2018.09.012</x:v>
      </x:c>
      <x:c r="N51" s="17" t="str">
        <x:v>已读摘要/检索摘要并核对题录；未系统阅读全文</x:v>
      </x:c>
      <x:c r="O51" s="17" t="str">
        <x:v>—</x:v>
      </x:c>
      <x:c r="P51" s="17" t="str">
        <x:v>Crossref题名与DOI精确匹配</x:v>
      </x:c>
    </x:row>
    <x:row r="52" ht="62" customHeight="1">
      <x:c r="A52" s="26" t="str">
        <x:v>L044</x:v>
      </x:c>
      <x:c r="B52" s="27" t="n">
        <x:v>2019</x:v>
      </x:c>
      <x:c r="C52" s="26" t="str">
        <x:v>材料与键合边界</x:v>
      </x:c>
      <x:c r="D52" s="26" t="str">
        <x:v>补充</x:v>
      </x:c>
      <x:c r="E52" s="24" t="str">
        <x:v>The Bonding Performance of Au-coated Ag Alloy wires (IMPACT 2019)</x:v>
      </x:c>
      <x:c r="F52" s="24" t="str">
        <x:v>报告低弧高、成球和热影响区的工艺观测，可参考验证方法，非纯金线本构。</x:v>
      </x:c>
      <x:c r="G52" s="24" t="str">
        <x:v>用作材料标定或焊点约束参考；区分金、银、铜和粗铝线，其他材料参数不能替代金丝。</x:v>
      </x:c>
      <x:c r="H52" s="24" t="str">
        <x:v>Hui-Yi Tang; Feng Li; Yu-Chen Xiao; Bao-An Wu; Wei-Min Guo; Feng-Lan Luo; Wei Fan Luo; Qing-Bin Liu</x:v>
      </x:c>
      <x:c r="I52" s="24" t="str">
        <x:v>2019 14th International Microsystems, Packaging, Assembly and Circuits Technology Conference (IMPACT)</x:v>
      </x:c>
      <x:c r="J52" s="24" t="str">
        <x:v>Au镀层Ag-Au合金</x:v>
      </x:c>
      <x:c r="K52" s="28" t="str">
        <x:v>10.1109/impact47228.2019.9024963</x:v>
      </x:c>
      <x:c r="L52" s="28" t="str">
        <x:v>https://consensus.app/papers/the-bonding-performance-of-aucoated-ag-alloy-wires-impact-tang-li/e9c0b8d7fc0a5034b39a31e5fad71db7/</x:v>
      </x:c>
      <x:c r="M52" s="28" t="str">
        <x:v>https://doi.org/10.1109/impact47228.2019.9024963</x:v>
      </x:c>
      <x:c r="N52" s="24" t="str">
        <x:v>已读摘要/检索摘要并核对题录；未系统阅读全文</x:v>
      </x:c>
      <x:c r="O52" s="24" t="str">
        <x:v>—</x:v>
      </x:c>
      <x:c r="P52" s="24" t="str">
        <x:v>Crossref题名与DOI精确匹配</x:v>
      </x:c>
    </x:row>
    <x:row r="53" ht="62" customHeight="1">
      <x:c r="A53" s="19" t="str">
        <x:v>L045</x:v>
      </x:c>
      <x:c r="B53" s="20" t="n">
        <x:v>2018</x:v>
      </x:c>
      <x:c r="C53" s="19" t="str">
        <x:v>材料与键合边界</x:v>
      </x:c>
      <x:c r="D53" s="19" t="str">
        <x:v>补充</x:v>
      </x:c>
      <x:c r="E53" s="17" t="str">
        <x:v>Comparison of ultrasonic wire bonding process between gold and copper by nonlinear structure analysis</x:v>
      </x:c>
      <x:c r="F53" s="17" t="str">
        <x:v>比较金铜线非线性动态键合过程，为毛细管接触和焊点约束条件建模提供参考。</x:v>
      </x:c>
      <x:c r="G53" s="17" t="str">
        <x:v>用作材料标定或焊点约束参考；区分金、银、铜和粗铝线，其他材料参数不能替代金丝。</x:v>
      </x:c>
      <x:c r="H53" s="17" t="str">
        <x:v>Yongjun Pan; Fulong Zhu; Xinxin Lin; Jiajie Fan; Sheng Liu</x:v>
      </x:c>
      <x:c r="I53" s="17" t="str">
        <x:v>Journal of Adhesion Science and Technology</x:v>
      </x:c>
      <x:c r="J53" s="17" t="str">
        <x:v>Au/Cu</x:v>
      </x:c>
      <x:c r="K53" s="21" t="str">
        <x:v>10.1080/01694243.2018.1463651</x:v>
      </x:c>
      <x:c r="L53" s="21" t="str">
        <x:v>https://consensus.app/papers/comparison-of-ultrasonic-wire-bonding-process-between-pan-zhu/571aa70526ab56e8b640276c1e257842/</x:v>
      </x:c>
      <x:c r="M53" s="21" t="str">
        <x:v>https://www.tandfonline.com/doi/abs/10.1080/01694243.2018.1463651</x:v>
      </x:c>
      <x:c r="N53" s="17" t="str">
        <x:v>已读摘要/检索摘要并核对题录；未系统阅读全文</x:v>
      </x:c>
      <x:c r="O53" s="17" t="str">
        <x:v>—</x:v>
      </x:c>
      <x:c r="P53" s="17" t="str">
        <x:v>Crossref题名与DOI精确匹配</x:v>
      </x:c>
    </x:row>
    <x:row r="54" ht="62" customHeight="1">
      <x:c r="A54" s="26" t="str">
        <x:v>L046</x:v>
      </x:c>
      <x:c r="B54" s="27" t="n">
        <x:v>2017</x:v>
      </x:c>
      <x:c r="C54" s="26" t="str">
        <x:v>材料与键合边界</x:v>
      </x:c>
      <x:c r="D54" s="26" t="str">
        <x:v>补充</x:v>
      </x:c>
      <x:c r="E54" s="24" t="str">
        <x:v>A review on the mechanisms of ultrasonic wedge-wedge bonding</x:v>
      </x:c>
      <x:c r="F54" s="24" t="str">
        <x:v>综述预变形、摩擦及超声软化机制，可指导接触模型；需区分楔焊与金球焊。</x:v>
      </x:c>
      <x:c r="G54" s="24" t="str">
        <x:v>用作材料标定或焊点约束参考；区分金、银、铜和粗铝线，其他材料参数不能替代金丝。</x:v>
      </x:c>
      <x:c r="H54" s="24" t="str">
        <x:v>Yangyang Long; Jens Twiefel; Jörg Wallaschek</x:v>
      </x:c>
      <x:c r="I54" s="24" t="str">
        <x:v>Journal of Materials Processing Technology</x:v>
      </x:c>
      <x:c r="J54" s="24" t="str">
        <x:v>通用键合金属（以楔焊为主）</x:v>
      </x:c>
      <x:c r="K54" s="28" t="str">
        <x:v>10.1016/j.jmatprotec.2017.02.012</x:v>
      </x:c>
      <x:c r="L54" s="28" t="str">
        <x:v>https://consensus.app/papers/a-review-on-the-mechanisms-of-ultrasonic-wedgewedge-long-twiefel/248ef4f738445c478cc17151ed3e3403/</x:v>
      </x:c>
      <x:c r="M54" s="28" t="str">
        <x:v>https://www.sciencedirect.com/science/article/pii/S0924013617300560</x:v>
      </x:c>
      <x:c r="N54" s="24" t="str">
        <x:v>已读摘要/检索摘要并核对题录；未系统阅读全文</x:v>
      </x:c>
      <x:c r="O54" s="24" t="str">
        <x:v>—</x:v>
      </x:c>
      <x:c r="P54" s="24" t="str">
        <x:v>Crossref题名与DOI精确匹配</x:v>
      </x:c>
    </x:row>
    <x:row r="55" ht="62" customHeight="1">
      <x:c r="A55" s="19" t="str">
        <x:v>L047</x:v>
      </x:c>
      <x:c r="B55" s="20" t="n">
        <x:v>2016</x:v>
      </x:c>
      <x:c r="C55" s="19" t="str">
        <x:v>材料与键合边界</x:v>
      </x:c>
      <x:c r="D55" s="19" t="str">
        <x:v>核心</x:v>
      </x:c>
      <x:c r="E55" s="17" t="str">
        <x:v>Modeling contrary size effects of tensile- and torsion-loaded oligocrystalline gold microwires</x:v>
      </x:c>
      <x:c r="F55" s="17" t="str">
        <x:v>采用梯度塑性模拟金微丝拉伸与扭转，可研究晶粒织构对成形响应的影响。</x:v>
      </x:c>
      <x:c r="G55" s="17" t="str">
        <x:v>用作材料标定或焊点约束参考；区分金、银、铜和粗铝线，其他材料参数不能替代金丝。</x:v>
      </x:c>
      <x:c r="H55" s="17" t="str">
        <x:v>E. Bayerschen; A. Prahs; S. Wulfinghoff; M. Ziemann; P. A. Gruber; M. Walter; T. Böhlke</x:v>
      </x:c>
      <x:c r="I55" s="17" t="str">
        <x:v>Journal of Materials Science</x:v>
      </x:c>
      <x:c r="J55" s="17" t="str">
        <x:v>Au</x:v>
      </x:c>
      <x:c r="K55" s="21" t="str">
        <x:v>10.1007/s10853-016-0020-7</x:v>
      </x:c>
      <x:c r="L55" s="21" t="str">
        <x:v>https://consensus.app/papers/modeling-contrary-size-effects-of-tensile-and-bayerschen-prahs/47194cd5f21f507a904086d01e83f41b/</x:v>
      </x:c>
      <x:c r="M55" s="21" t="str">
        <x:v>https://arxiv.org/abs/1602.03787</x:v>
      </x:c>
      <x:c r="N55" s="17" t="str">
        <x:v>已读摘要/检索摘要并核对题录；未系统阅读全文</x:v>
      </x:c>
      <x:c r="O55" s="17" t="str">
        <x:v>—</x:v>
      </x:c>
      <x:c r="P55" s="17" t="str">
        <x:v>Crossref题名与DOI精确匹配</x:v>
      </x:c>
    </x:row>
    <x:row r="56" ht="62" customHeight="1">
      <x:c r="A56" s="26" t="str">
        <x:v>L048</x:v>
      </x:c>
      <x:c r="B56" s="27" t="n">
        <x:v>2015</x:v>
      </x:c>
      <x:c r="C56" s="26" t="str">
        <x:v>材料与键合边界</x:v>
      </x:c>
      <x:c r="D56" s="26" t="str">
        <x:v>核心</x:v>
      </x:c>
      <x:c r="E56" s="24" t="str">
        <x:v>Size effects in thin coarse-grained gold microwires under tensile and torsional loading</x:v>
      </x:c>
      <x:c r="F56" s="24" t="str">
        <x:v>比较金微丝拉伸与扭转尺寸效应，提示弯曲材料参数不能仅由拉伸强度确定。</x:v>
      </x:c>
      <x:c r="G56" s="24" t="str">
        <x:v>用作材料标定或焊点约束参考；区分金、银、铜和粗铝线，其他材料参数不能替代金丝。</x:v>
      </x:c>
      <x:c r="H56" s="24" t="str">
        <x:v>Ying Chen; Oliver Kraft; Mario Walter</x:v>
      </x:c>
      <x:c r="I56" s="24" t="str">
        <x:v>Acta Materialia</x:v>
      </x:c>
      <x:c r="J56" s="24" t="str">
        <x:v>Au</x:v>
      </x:c>
      <x:c r="K56" s="28" t="str">
        <x:v>10.1016/j.actamat.2014.12.034</x:v>
      </x:c>
      <x:c r="L56" s="28" t="str">
        <x:v>https://consensus.app/papers/size-effects-in-thin-coarsegrained-gold-microwires-under-chen-kraft/8f571e8b051a58f2843d5ee8025f9e20/</x:v>
      </x:c>
      <x:c r="M56" s="28" t="str">
        <x:v>https://www.sciencedirect.com/science/article/abs/pii/S1359645414009513</x:v>
      </x:c>
      <x:c r="N56" s="24" t="str">
        <x:v>已读摘要/检索摘要并核对题录；未系统阅读全文</x:v>
      </x:c>
      <x:c r="O56" s="24" t="str">
        <x:v>—</x:v>
      </x:c>
      <x:c r="P56" s="24" t="str">
        <x:v>Crossref题名与DOI精确匹配</x:v>
      </x:c>
    </x:row>
    <x:row r="57" ht="62" customHeight="1">
      <x:c r="A57" s="19" t="str">
        <x:v>L049</x:v>
      </x:c>
      <x:c r="B57" s="20" t="n">
        <x:v>2014</x:v>
      </x:c>
      <x:c r="C57" s="19" t="str">
        <x:v>材料与键合边界</x:v>
      </x:c>
      <x:c r="D57" s="19" t="str">
        <x:v>核心</x:v>
      </x:c>
      <x:c r="E57" s="17" t="str">
        <x:v>Hall–Petch effect and strain gradient effect in the torsion of thin gold wires</x:v>
      </x:c>
      <x:c r="F57" s="17" t="str">
        <x:v>比较金丝晶粒强化与应变梯度效应，为小线径弯曲本构选型提供依据。</x:v>
      </x:c>
      <x:c r="G57" s="17" t="str">
        <x:v>用作材料标定或焊点约束参考；区分金、银、铜和粗铝线，其他材料参数不能替代金丝。</x:v>
      </x:c>
      <x:c r="H57" s="17" t="str">
        <x:v>Zhipeng Gan; Yuming He; Dabiao Liu; Bo Zhang; Lei Shen</x:v>
      </x:c>
      <x:c r="I57" s="17" t="str">
        <x:v>Scripta Materialia</x:v>
      </x:c>
      <x:c r="J57" s="17" t="str">
        <x:v>Au</x:v>
      </x:c>
      <x:c r="K57" s="21" t="str">
        <x:v>10.1016/j.scriptamat.2014.05.011</x:v>
      </x:c>
      <x:c r="L57" s="21" t="str">
        <x:v>https://consensus.app/papers/hall–petch-effect-and-strain-gradient-effect-in-the-gan-he/aa18fea995a854a08c38cb7e6ca13a84/</x:v>
      </x:c>
      <x:c r="M57" s="21" t="str">
        <x:v>https://doi.org/10.1016/j.scriptamat.2014.05.011</x:v>
      </x:c>
      <x:c r="N57" s="17" t="str">
        <x:v>已读摘要/检索摘要并核对题录；未系统阅读全文</x:v>
      </x:c>
      <x:c r="O57" s="17" t="str">
        <x:v>—</x:v>
      </x:c>
      <x:c r="P57" s="17" t="str">
        <x:v>Crossref题名与DOI精确匹配</x:v>
      </x:c>
    </x:row>
    <x:row r="58" ht="62" customHeight="1">
      <x:c r="A58" s="26" t="str">
        <x:v>L050</x:v>
      </x:c>
      <x:c r="B58" s="27" t="n">
        <x:v>2009</x:v>
      </x:c>
      <x:c r="C58" s="26" t="str">
        <x:v>材料与键合边界</x:v>
      </x:c>
      <x:c r="D58" s="26" t="str">
        <x:v>核心</x:v>
      </x:c>
      <x:c r="E58" s="24" t="str">
        <x:v>Effects of superimposed ultrasound on deformation of gold</x:v>
      </x:c>
      <x:c r="F58" s="24" t="str">
        <x:v>研究金在超声加载及停振后的塑性软化，为键合前后材料状态处理提供依据。</x:v>
      </x:c>
      <x:c r="G58" s="24" t="str">
        <x:v>用作材料标定或焊点约束参考；区分金、银、铜和粗铝线，其他材料参数不能替代金丝。</x:v>
      </x:c>
      <x:c r="H58" s="24" t="str">
        <x:v>I. Lum; H. Huang; B. H. Chang; M. Mayer; D. Du; Y. Zhou</x:v>
      </x:c>
      <x:c r="I58" s="24" t="str">
        <x:v>Journal of Applied Physics</x:v>
      </x:c>
      <x:c r="J58" s="24" t="str">
        <x:v>Au</x:v>
      </x:c>
      <x:c r="K58" s="28" t="str">
        <x:v>10.1063/1.3068352</x:v>
      </x:c>
      <x:c r="L58" s="28" t="str">
        <x:v>https://consensus.app/papers/effects-of-superimposed-ultrasound-on-deformation-of-gold-lum-huang/63ffa36c249e576fa4eaf3cea5fcaaa7/</x:v>
      </x:c>
      <x:c r="M58" s="28" t="str">
        <x:v>https://doi.org/10.1063/1.3068352</x:v>
      </x:c>
      <x:c r="N58" s="24" t="str">
        <x:v>已读摘要/检索摘要并核对题录；未系统阅读全文</x:v>
      </x:c>
      <x:c r="O58" s="24" t="str">
        <x:v>—</x:v>
      </x:c>
      <x:c r="P58" s="24" t="str">
        <x:v>Crossref题名与DOI精确匹配</x:v>
      </x:c>
    </x:row>
    <x:row r="59" ht="62" customHeight="1">
      <x:c r="A59" s="19" t="str">
        <x:v>L051</x:v>
      </x:c>
      <x:c r="B59" s="20" t="n">
        <x:v>2009</x:v>
      </x:c>
      <x:c r="C59" s="19" t="str">
        <x:v>材料与键合边界</x:v>
      </x:c>
      <x:c r="D59" s="19" t="str">
        <x:v>核心</x:v>
      </x:c>
      <x:c r="E59" s="17" t="str">
        <x:v>Local hardening behavior of free air balls and heat affected zones of thermosonic wire bond interconnections</x:v>
      </x:c>
      <x:c r="F59" s="17" t="str">
        <x:v>以压缩实验及逆向有限元识别金球与热影响区硬化，可指导分区本构标定。</x:v>
      </x:c>
      <x:c r="G59" s="17" t="str">
        <x:v>用作材料标定或焊点约束参考；区分金、银、铜和粗铝线，其他材料参数不能替代金丝。</x:v>
      </x:c>
      <x:c r="H59" s="17" t="str">
        <x:v>G. Lorenz; M. Mittag; M. Petzold; E. Milke; T. Muller</x:v>
      </x:c>
      <x:c r="I59" s="17" t="str">
        <x:v>2009 European Microelectronics and Packaging Conference</x:v>
      </x:c>
      <x:c r="J59" s="17" t="str">
        <x:v>Au</x:v>
      </x:c>
      <x:c r="K59" s="21" t="str">
        <x:v>未确认</x:v>
      </x:c>
      <x:c r="L59" s="21" t="str">
        <x:v>https://consensus.app/papers/local-hardening-behavior-of-free-air-balls-and-heat-lorenz-mittag/558a157c276f59f8a2e53f5d95c8d2a2/</x:v>
      </x:c>
      <x:c r="M59" s="21" t="str">
        <x:v>https://consensus.app/papers/local-hardening-behavior-of-free-air-balls-and-heat-lorenz-mittag/558a157c276f59f8a2e53f5d95c8d2a2/?utm_source=chatgpt</x:v>
      </x:c>
      <x:c r="N59" s="17" t="str">
        <x:v>已读摘要/检索摘要并核对题录；未系统阅读全文</x:v>
      </x:c>
      <x:c r="O59" s="17" t="str">
        <x:v>—</x:v>
      </x:c>
      <x:c r="P59" s="17" t="str">
        <x:v>Consensus题录与fetch核对；DOI未确认</x:v>
      </x:c>
    </x:row>
    <x:row r="60" ht="62" customHeight="1">
      <x:c r="A60" s="26" t="str">
        <x:v>L052</x:v>
      </x:c>
      <x:c r="B60" s="27" t="n">
        <x:v>2009</x:v>
      </x:c>
      <x:c r="C60" s="26" t="str">
        <x:v>材料与键合边界</x:v>
      </x:c>
      <x:c r="D60" s="26" t="str">
        <x:v>补充</x:v>
      </x:c>
      <x:c r="E60" s="24" t="str">
        <x:v>The Effect of Ultrasonic Frequency on Gold Wire Bondability and Reliability</x:v>
      </x:c>
      <x:c r="F60" s="24" t="str">
        <x:v>比较超声频率与金线键合强度，可指导工艺实验；原文发表于2009年而非2026年。</x:v>
      </x:c>
      <x:c r="G60" s="24" t="str">
        <x:v>用作材料标定或焊点约束参考；区分金、银、铜和粗铝线，其他材料参数不能替代金丝。</x:v>
      </x:c>
      <x:c r="H60" s="24" t="str">
        <x:v>Jianbiao Pan; Minh-Nhat Le; Cuong Van Pham</x:v>
      </x:c>
      <x:c r="I60" s="24" t="str">
        <x:v>Journal of Microelectronics and Electronic Packaging</x:v>
      </x:c>
      <x:c r="J60" s="24" t="str">
        <x:v>Au</x:v>
      </x:c>
      <x:c r="K60" s="28" t="str">
        <x:v>10.4071/1551-4897-6.1.89</x:v>
      </x:c>
      <x:c r="L60" s="28" t="str">
        <x:v>https://consensus.app/papers/the-effect-of-ultrasonic-frequency-on-gold-wire-pan-le/9b68aecd8d9958ac90e727f5724b8fe1/</x:v>
      </x:c>
      <x:c r="M60" s="28" t="str">
        <x:v>https://digitalcommons.calpoly.edu/ime_fac/64/</x:v>
      </x:c>
      <x:c r="N60" s="24" t="str">
        <x:v>已读摘要/检索摘要并核对题录；未系统阅读全文</x:v>
      </x:c>
      <x:c r="O60" s="24" t="str">
        <x:v>原期刊6(1):89–95发表于2009；检索索引误标2026，已纠正。</x:v>
      </x:c>
      <x:c r="P60" s="24" t="str">
        <x:v>Crossref题名与DOI精确匹配</x:v>
      </x:c>
    </x:row>
    <x:row r="61" ht="62" customHeight="1">
      <x:c r="A61" s="19" t="str">
        <x:v>L053</x:v>
      </x:c>
      <x:c r="B61" s="20" t="n">
        <x:v>2007</x:v>
      </x:c>
      <x:c r="C61" s="19" t="str">
        <x:v>材料与键合边界</x:v>
      </x:c>
      <x:c r="D61" s="19" t="str">
        <x:v>核心</x:v>
      </x:c>
      <x:c r="E61" s="17" t="str">
        <x:v>Characteristic of heat affected zone in thin gold wire and dynamic transient analysis of wire bonding for microstructure of Cu/Low-K wafer</x:v>
      </x:c>
      <x:c r="F61" s="17" t="str">
        <x:v>通过放电成球前后金丝拉伸及热影响区观测，为成弧初始材料状态提供数据。</x:v>
      </x:c>
      <x:c r="G61" s="17" t="str">
        <x:v>用作材料标定或焊点约束参考；区分金、银、铜和粗铝线，其他材料参数不能替代金丝。</x:v>
      </x:c>
      <x:c r="H61" s="17" t="str">
        <x:v>Pei-Chieh Chin; Chin-Yuan Hu; Hsiang-Chen Hsu; Shen-Li Fu; Chang-Lin Yeh; Yi-Shao Lai</x:v>
      </x:c>
      <x:c r="I61" s="17" t="str">
        <x:v>2007 International Microsystems, Packaging, Assembly and Circuits Technology</x:v>
      </x:c>
      <x:c r="J61" s="17" t="str">
        <x:v>Au</x:v>
      </x:c>
      <x:c r="K61" s="21" t="str">
        <x:v>10.1109/impact.2007.4433621</x:v>
      </x:c>
      <x:c r="L61" s="21" t="str">
        <x:v>https://consensus.app/papers/characteristic-of-heat-affected-zone-in-thin-gold-wire-and-chin-hu/78d7c900cfe75bf797f1f5c409f1d4b4/</x:v>
      </x:c>
      <x:c r="M61" s="21" t="str">
        <x:v>https://doi.org/10.1109/impact.2007.4433621</x:v>
      </x:c>
      <x:c r="N61" s="17" t="str">
        <x:v>已读摘要/检索摘要并核对题录；未系统阅读全文</x:v>
      </x:c>
      <x:c r="O61" s="17" t="str">
        <x:v>—</x:v>
      </x:c>
      <x:c r="P61" s="17" t="str">
        <x:v>Crossref题名与DOI精确匹配</x:v>
      </x:c>
    </x:row>
    <x:row r="62" ht="62" customHeight="1">
      <x:c r="A62" s="26" t="str">
        <x:v>L054</x:v>
      </x:c>
      <x:c r="B62" s="27" t="n">
        <x:v>2006</x:v>
      </x:c>
      <x:c r="C62" s="26" t="str">
        <x:v>材料与键合边界</x:v>
      </x:c>
      <x:c r="D62" s="26" t="str">
        <x:v>核心</x:v>
      </x:c>
      <x:c r="E62" s="24" t="str">
        <x:v>Relationship between mechanical properties and microstructure of ultra-fine gold bonding wires</x:v>
      </x:c>
      <x:c r="F62" s="24" t="str">
        <x:v>金键合线微拉伸曲线与组织关联，可指导弹性模量和硬化参数实验标定。</x:v>
      </x:c>
      <x:c r="G62" s="24" t="str">
        <x:v>用作材料标定或焊点约束参考；区分金、银、铜和粗铝线，其他材料参数不能替代金丝。</x:v>
      </x:c>
      <x:c r="H62" s="24" t="str">
        <x:v>K.S. Kim; J.Y. Song; E.K. Chung; J.K. Park; S.H. Hong</x:v>
      </x:c>
      <x:c r="I62" s="24" t="str">
        <x:v>Mechanics of Materials</x:v>
      </x:c>
      <x:c r="J62" s="24" t="str">
        <x:v>Au</x:v>
      </x:c>
      <x:c r="K62" s="28" t="str">
        <x:v>10.1016/j.mechmat.2005.05.015</x:v>
      </x:c>
      <x:c r="L62" s="28" t="str">
        <x:v>https://consensus.app/papers/relationship-between-mechanical-properties-and-kim-song/872af809d4215deba14de56d8e065862/</x:v>
      </x:c>
      <x:c r="M62" s="28" t="str">
        <x:v>https://www.sciencedirect.com/science/article/pii/S016766360500092X</x:v>
      </x:c>
      <x:c r="N62" s="24" t="str">
        <x:v>已读摘要/检索摘要并核对题录；未系统阅读全文</x:v>
      </x:c>
      <x:c r="O62" s="24" t="str">
        <x:v>Consensus索引年份2005；以出版商卷期/论文首页或作者机构出版记录2006年为准。</x:v>
      </x:c>
      <x:c r="P62" s="24" t="str">
        <x:v>Crossref题名与DOI精确匹配</x:v>
      </x:c>
    </x:row>
    <x:row r="63" ht="62" customHeight="1">
      <x:c r="A63" s="19" t="str">
        <x:v>L055</x:v>
      </x:c>
      <x:c r="B63" s="20" t="n">
        <x:v>2004</x:v>
      </x:c>
      <x:c r="C63" s="19" t="str">
        <x:v>材料与键合边界</x:v>
      </x:c>
      <x:c r="D63" s="19" t="str">
        <x:v>核心</x:v>
      </x:c>
      <x:c r="E63" s="17" t="str">
        <x:v>Mechanical Characterization of the Heat Affected Zone of Gold Wirebonds Using Nanoindentation</x:v>
      </x:c>
      <x:c r="F63" s="17" t="str">
        <x:v>以纳米压痕表征金丝热影响区，可指导沿弧长变化的屈服参数识别。</x:v>
      </x:c>
      <x:c r="G63" s="17" t="str">
        <x:v>用作材料标定或焊点约束参考；区分金、银、铜和粗铝线，其他材料参数不能替代金丝。</x:v>
      </x:c>
      <x:c r="H63" s="17" t="str">
        <x:v>Mithilesh Shah; Kaiyang Zeng; Andrew A. O. Tay</x:v>
      </x:c>
      <x:c r="I63" s="17" t="str">
        <x:v>Journal of Electronic Packaging</x:v>
      </x:c>
      <x:c r="J63" s="17" t="str">
        <x:v>Au</x:v>
      </x:c>
      <x:c r="K63" s="21" t="str">
        <x:v>10.1115/1.1648062</x:v>
      </x:c>
      <x:c r="L63" s="21" t="str">
        <x:v>https://consensus.app/papers/mechanical-characterization-of-the-heat-affected-zone-of-shah-zeng/3890067167d358e7a624ed7899926a05/</x:v>
      </x:c>
      <x:c r="M63" s="21" t="str">
        <x:v>https://doi.org/10.1115/1.1648062</x:v>
      </x:c>
      <x:c r="N63" s="17" t="str">
        <x:v>已读摘要/检索摘要并核对题录；未系统阅读全文</x:v>
      </x:c>
      <x:c r="O63" s="17" t="str">
        <x:v>—</x:v>
      </x:c>
      <x:c r="P63" s="17" t="str">
        <x:v>Crossref题名与DOI精确匹配</x:v>
      </x:c>
    </x:row>
    <x:row r="64" ht="62" customHeight="1">
      <x:c r="A64" s="26" t="str">
        <x:v>L056</x:v>
      </x:c>
      <x:c r="B64" s="27" t="n">
        <x:v>2026</x:v>
      </x:c>
      <x:c r="C64" s="26" t="str">
        <x:v>弹塑性杆与送丝</x:v>
      </x:c>
      <x:c r="D64" s="26" t="str">
        <x:v>核心</x:v>
      </x:c>
      <x:c r="E64" s="24" t="str">
        <x:v>A closed-form eigenstrain framework for classical springback in inelastically bent beams</x:v>
      </x:c>
      <x:c r="F64" s="24" t="str">
        <x:v>可用圆截面闭式残余曲率解测试金丝回弹求解器，原文限弹性理想塑性与经典梁假设。</x:v>
      </x:c>
      <x:c r="G64" s="24" t="str">
        <x:v>迁移数值方法、历史变量或验证流程；原文尺寸、材料和边界不等同于微米金丝成弧。</x:v>
      </x:c>
      <x:c r="H64" s="24" t="str">
        <x:v>Fatih Uzun; Alexander M. Korsunsky</x:v>
      </x:c>
      <x:c r="I64" s="24" t="str">
        <x:v>Archive of Applied Mechanics</x:v>
      </x:c>
      <x:c r="J64" s="24" t="str">
        <x:v>弹性理想塑性圆杆/梁</x:v>
      </x:c>
      <x:c r="K64" s="28" t="str">
        <x:v>10.1007/s00419-026-03071-y</x:v>
      </x:c>
      <x:c r="L64" s="28" t="str">
        <x:v>https://link.springer.com/article/10.1007/s00419-026-03071-y</x:v>
      </x:c>
      <x:c r="M64" s="28" t="str">
        <x:v>https://link.springer.com/article/10.1007/s00419-026-03071-y</x:v>
      </x:c>
      <x:c r="N64" s="24" t="str">
        <x:v>已读摘要/检索摘要并核对题录；未系统阅读全文</x:v>
      </x:c>
      <x:c r="O64" s="24" t="str">
        <x:v>—</x:v>
      </x:c>
      <x:c r="P64" s="24" t="str">
        <x:v>Crossref题名与DOI精确匹配</x:v>
      </x:c>
    </x:row>
    <x:row r="65" ht="62" customHeight="1">
      <x:c r="A65" s="19" t="str">
        <x:v>L057</x:v>
      </x:c>
      <x:c r="B65" s="20" t="n">
        <x:v>2026</x:v>
      </x:c>
      <x:c r="C65" s="19" t="str">
        <x:v>弹塑性杆与送丝</x:v>
      </x:c>
      <x:c r="D65" s="19" t="str">
        <x:v>核心</x:v>
      </x:c>
      <x:c r="E65" s="17" t="str">
        <x:v>Dimension Reduction for Elastoplastic Rods in the Bending Regime</x:v>
      </x:c>
      <x:c r="F65" s="17" t="str">
        <x:v>有限塑性三维到大转角细杆的降维依据，可用于核查弯曲塑性与几何模型的理论一致性。</x:v>
      </x:c>
      <x:c r="G65" s="17" t="str">
        <x:v>迁移数值方法、历史变量或验证流程；原文尺寸、材料和边界不等同于微米金丝成弧。</x:v>
      </x:c>
      <x:c r="H65" s="17" t="str">
        <x:v>Stefan Neukamm; Kai Richter</x:v>
      </x:c>
      <x:c r="I65" s="17" t="str">
        <x:v>SIAM Journal on Mathematical Analysis</x:v>
      </x:c>
      <x:c r="J65" s="17" t="str">
        <x:v>一般弹塑性细杆</x:v>
      </x:c>
      <x:c r="K65" s="21" t="str">
        <x:v>10.1137/25m172536x</x:v>
      </x:c>
      <x:c r="L65" s="21" t="str">
        <x:v>https://consensus.app/papers/dimension-reduction-for-elastoplastic-rods-in-the-bending-neukamm-richter/ad1862362d695aa68f332a19dca8d4e8/</x:v>
      </x:c>
      <x:c r="M65" s="21" t="str">
        <x:v>https://epubs.siam.org/doi/abs/10.1137/25M172536X?journalCode=sjmaah</x:v>
      </x:c>
      <x:c r="N65" s="17" t="str">
        <x:v>已读摘要/检索摘要并核对题录；未系统阅读全文</x:v>
      </x:c>
      <x:c r="O65" s="17" t="str">
        <x:v>2024为预印本，期刊发表于2026；按期刊版本计为一篇。</x:v>
      </x:c>
      <x:c r="P65" s="17" t="str">
        <x:v>Crossref题名与DOI精确匹配</x:v>
      </x:c>
    </x:row>
    <x:row r="66" ht="62" customHeight="1">
      <x:c r="A66" s="26" t="str">
        <x:v>L058</x:v>
      </x:c>
      <x:c r="B66" s="27" t="n">
        <x:v>2026</x:v>
      </x:c>
      <x:c r="C66" s="26" t="str">
        <x:v>弹塑性杆与送丝</x:v>
      </x:c>
      <x:c r="D66" s="26" t="str">
        <x:v>补充</x:v>
      </x:c>
      <x:c r="E66" s="24" t="str">
        <x:v>Development and Modeling of a Wire Straightening Mechanism for Coaxial Wire Laser-Directed Energy Deposition</x:v>
      </x:c>
      <x:c r="F66" s="24" t="str">
        <x:v>直接研究细线初始残余曲率和矫直回弹，有助定义送丝初始状态及多次曲率校正验证。</x:v>
      </x:c>
      <x:c r="G66" s="24" t="str">
        <x:v>迁移数值方法、历史变量或验证流程；原文尺寸、材料和边界不等同于微米金丝成弧。</x:v>
      </x:c>
      <x:c r="H66" s="24" t="str">
        <x:v>Sutonu Oraon; Soham Mujumdar; Ramesh Singh</x:v>
      </x:c>
      <x:c r="I66" s="24" t="str">
        <x:v>Journal of Micro and Nano Science and Engineering</x:v>
      </x:c>
      <x:c r="J66" s="24" t="str">
        <x:v>细金属线0.1至2毫米</x:v>
      </x:c>
      <x:c r="K66" s="28" t="str">
        <x:v>10.1115/1.4071994</x:v>
      </x:c>
      <x:c r="L66" s="28" t="str">
        <x:v>https://consensus.app/papers/development-and-modeling-of-a-wire-straightening-oraon-mujumdar/d797dae0b7895737b707df4776c70908/</x:v>
      </x:c>
      <x:c r="M66" s="28" t="str">
        <x:v>https://doi.org/10.1115/1.4071994</x:v>
      </x:c>
      <x:c r="N66" s="24" t="str">
        <x:v>已读摘要/检索摘要并核对题录；未系统阅读全文</x:v>
      </x:c>
      <x:c r="O66" s="24" t="str">
        <x:v>—</x:v>
      </x:c>
      <x:c r="P66" s="24" t="str">
        <x:v>Crossref题名与DOI精确匹配</x:v>
      </x:c>
    </x:row>
    <x:row r="67" ht="62" customHeight="1">
      <x:c r="A67" s="19" t="str">
        <x:v>L059</x:v>
      </x:c>
      <x:c r="B67" s="20" t="n">
        <x:v>2026</x:v>
      </x:c>
      <x:c r="C67" s="19" t="str">
        <x:v>弹塑性杆与送丝</x:v>
      </x:c>
      <x:c r="D67" s="19" t="str">
        <x:v>补充</x:v>
      </x:c>
      <x:c r="E67" s="17" t="str">
        <x:v>Finite strain modeling of hyperelastoplastic structures with application to beam-like members</x:v>
      </x:c>
      <x:c r="F67" s="17" t="str">
        <x:v>提供有限应变随动硬化与梁截面变形的高效实现思路，需核查适用假设与金丝截面尺度。</x:v>
      </x:c>
      <x:c r="G67" s="17" t="str">
        <x:v>迁移数值方法、历史变量或验证流程；原文尺寸、材料和边界不等同于微米金丝成弧。</x:v>
      </x:c>
      <x:c r="H67" s="17" t="str">
        <x:v>A. R. Damanpack; A. Farrokhabadi</x:v>
      </x:c>
      <x:c r="I67" s="17" t="str">
        <x:v>Mechanics of Advanced Materials and Structures</x:v>
      </x:c>
      <x:c r="J67" s="17" t="str">
        <x:v>一般弹塑性梁及金属晶格</x:v>
      </x:c>
      <x:c r="K67" s="21" t="str">
        <x:v>10.1080/15376494.2026.2681939</x:v>
      </x:c>
      <x:c r="L67" s="21" t="str">
        <x:v>https://consensus.app/papers/finite-strain-modeling-of-hyperelastoplastic-structures-damanpack-farrokhabadi/1c0f64a5523c5c65b0379995e4602725/</x:v>
      </x:c>
      <x:c r="M67" s="21" t="str">
        <x:v>https://www.tandfonline.com/doi/full/10.1080/15376494.2026.2681939</x:v>
      </x:c>
      <x:c r="N67" s="17" t="str">
        <x:v>已读摘要/检索摘要并核对题录；未系统阅读全文</x:v>
      </x:c>
      <x:c r="O67" s="17" t="str">
        <x:v>2026-06-09已在线发表；印刷排期2026-12-31尚未来到，本表按在线论文收录。</x:v>
      </x:c>
      <x:c r="P67" s="17" t="str">
        <x:v>Crossref题名与DOI精确匹配</x:v>
      </x:c>
    </x:row>
    <x:row r="68" ht="62" customHeight="1">
      <x:c r="A68" s="26" t="str">
        <x:v>L060</x:v>
      </x:c>
      <x:c r="B68" s="27" t="n">
        <x:v>2026</x:v>
      </x:c>
      <x:c r="C68" s="26" t="str">
        <x:v>弹塑性杆与送丝</x:v>
      </x:c>
      <x:c r="D68" s="26" t="str">
        <x:v>补充</x:v>
      </x:c>
      <x:c r="E68" s="24" t="str">
        <x:v>Influence of Tool Geometry, Straightening Strategy and Tool Clearance in Thin Wire Punch-Bending</x:v>
      </x:c>
      <x:c r="F68" s="24" t="str">
        <x:v>证明前期矫直历史会影响后续弯曲回弹，支持MVP保存应力历史而非只用当前曲率。</x:v>
      </x:c>
      <x:c r="G68" s="24" t="str">
        <x:v>迁移数值方法、历史变量或验证流程；原文尺寸、材料和边界不等同于微米金丝成弧。</x:v>
      </x:c>
      <x:c r="H68" s="24" t="str">
        <x:v>Ankit Kumar Pandey; Henning Peters; Tim Rostek; Werner Homberg</x:v>
      </x:c>
      <x:c r="I68" s="24" t="str">
        <x:v>Journal of Manufacturing and Materials Processing</x:v>
      </x:c>
      <x:c r="J68" s="24" t="str">
        <x:v>EN1.4310不锈钢扁线</x:v>
      </x:c>
      <x:c r="K68" s="28" t="str">
        <x:v>10.3390/jmmp10050149</x:v>
      </x:c>
      <x:c r="L68" s="28" t="str">
        <x:v>https://consensus.app/papers/influence-of-tool-geometry-straightening-strategy-and-pandey-peters/c6a5423c445a540f8fc8595450f2f2ff/</x:v>
      </x:c>
      <x:c r="M68" s="28" t="str">
        <x:v>https://www.mdpi.com/2504-4494/10/5/149</x:v>
      </x:c>
      <x:c r="N68" s="24" t="str">
        <x:v>已读摘要/检索摘要并核对题录；未系统阅读全文</x:v>
      </x:c>
      <x:c r="O68" s="24" t="str">
        <x:v>—</x:v>
      </x:c>
      <x:c r="P68" s="24" t="str">
        <x:v>Crossref题名与DOI精确匹配</x:v>
      </x:c>
    </x:row>
    <x:row r="69" ht="62" customHeight="1">
      <x:c r="A69" s="19" t="str">
        <x:v>L061</x:v>
      </x:c>
      <x:c r="B69" s="20" t="n">
        <x:v>2026</x:v>
      </x:c>
      <x:c r="C69" s="19" t="str">
        <x:v>弹塑性杆与送丝</x:v>
      </x:c>
      <x:c r="D69" s="19" t="str">
        <x:v>补充</x:v>
      </x:c>
      <x:c r="E69" s="17" t="str">
        <x:v>Learning 1D stress resultant plasticity from 2D continuum plasticity: a physics-informed neural network model reduction approach</x:v>
      </x:c>
      <x:c r="F69" s="17" t="str">
        <x:v>将纤维级塑性降为弯矩曲率返回映射，可为后续加速模型提供依据，MVP仍需物理材料标定。</x:v>
      </x:c>
      <x:c r="G69" s="17" t="str">
        <x:v>迁移数值方法、历史变量或验证流程；原文尺寸、材料和边界不等同于微米金丝成弧。</x:v>
      </x:c>
      <x:c r="H69" s="17" t="str">
        <x:v>Emin Kocbay</x:v>
      </x:c>
      <x:c r="I69" s="17" t="str">
        <x:v>Engineering with Computers</x:v>
      </x:c>
      <x:c r="J69" s="17" t="str">
        <x:v>一般弹塑性Euler-Bernoulli梁</x:v>
      </x:c>
      <x:c r="K69" s="21" t="str">
        <x:v>10.1007/s00366-026-02385-3</x:v>
      </x:c>
      <x:c r="L69" s="21" t="str">
        <x:v>https://consensus.app/papers/learning-1d-stress-resultant-plasticity-from-2d-continuum-koçbay/253c53b7032c540ba3e798f54390f7e9/</x:v>
      </x:c>
      <x:c r="M69" s="21" t="str">
        <x:v>https://link.springer.com/article/10.1007/s00366-026-02385-3</x:v>
      </x:c>
      <x:c r="N69" s="17" t="str">
        <x:v>已读摘要/检索摘要并核对题录；未系统阅读全文</x:v>
      </x:c>
      <x:c r="O69" s="17" t="str">
        <x:v>—</x:v>
      </x:c>
      <x:c r="P69" s="17" t="str">
        <x:v>Crossref题名与DOI精确匹配</x:v>
      </x:c>
    </x:row>
    <x:row r="70" ht="62" customHeight="1">
      <x:c r="A70" s="26" t="str">
        <x:v>L062</x:v>
      </x:c>
      <x:c r="B70" s="27" t="n">
        <x:v>2025</x:v>
      </x:c>
      <x:c r="C70" s="26" t="str">
        <x:v>弹塑性杆与送丝</x:v>
      </x:c>
      <x:c r="D70" s="26" t="str">
        <x:v>核心</x:v>
      </x:c>
      <x:c r="E70" s="24" t="str">
        <x:v>A strategy for scaling the hardening behavior in finite element modelling of geometrically exact beams</x:v>
      </x:c>
      <x:c r="F70" s="24" t="str">
        <x:v>解释杆塑性硬化随截面尺度和网格的变化，避免把宏观梁参数直接缩放到微米金丝。</x:v>
      </x:c>
      <x:c r="G70" s="24" t="str">
        <x:v>迁移数值方法、历史变量或验证流程；原文尺寸、材料和边界不等同于微米金丝成弧。</x:v>
      </x:c>
      <x:c r="H70" s="24" t="str">
        <x:v>T. Gärtner; S. J. van den Boom; J. Weerheijm; L. J. Sluys</x:v>
      </x:c>
      <x:c r="I70" s="24" t="str">
        <x:v>Computational Mechanics</x:v>
      </x:c>
      <x:c r="J70" s="24" t="str">
        <x:v>金属梁与梁组</x:v>
      </x:c>
      <x:c r="K70" s="28" t="str">
        <x:v>10.1007/s00466-024-02572-3</x:v>
      </x:c>
      <x:c r="L70" s="28" t="str">
        <x:v>https://consensus.app/papers/a-strategy-for-scaling-the-hardening-behavior-in-finite-gärtner-boom/df958502e41f5f8baca5905f749a4ebe/</x:v>
      </x:c>
      <x:c r="M70" s="28" t="str">
        <x:v>https://link.springer.com/article/10.1007/s00466-024-02572-3</x:v>
      </x:c>
      <x:c r="N70" s="24" t="str">
        <x:v>已读摘要/检索摘要并核对题录；未系统阅读全文</x:v>
      </x:c>
      <x:c r="O70" s="24" t="str">
        <x:v>在线2024，期刊75卷2025。 在线2024-11-15；主年份采用正式卷期。</x:v>
      </x:c>
      <x:c r="P70" s="24" t="str">
        <x:v>Crossref题名与DOI精确匹配</x:v>
      </x:c>
    </x:row>
    <x:row r="71" ht="76" customHeight="1">
      <x:c r="A71" s="19" t="str">
        <x:v>L063</x:v>
      </x:c>
      <x:c r="B71" s="20" t="n">
        <x:v>2025</x:v>
      </x:c>
      <x:c r="C71" s="19" t="str">
        <x:v>弹塑性杆与送丝</x:v>
      </x:c>
      <x:c r="D71" s="19" t="str">
        <x:v>补充</x:v>
      </x:c>
      <x:c r="E71" s="17" t="str">
        <x:v>Behavior and Analysis of Stainless Steel Wires Under Straight Bending</x:v>
      </x:c>
      <x:c r="F71" s="17" t="str">
        <x:v>提供单根金属线弯曲与回弹的实验仿真对照方法，钢线结果需重新标定才能用于金丝。</x:v>
      </x:c>
      <x:c r="G71" s="17" t="str">
        <x:v>迁移数值方法、历史变量或验证流程；原文尺寸、材料和边界不等同于微米金丝成弧。</x:v>
      </x:c>
      <x:c r="H71" s="17" t="str">
        <x:v>Erick-Alejandro González-Barbosa; Sergio-Alberto Hernández; José-Joel González-Barbosa; Héctor Castro-Mosqueda; Fernando Jurado-Pérez; José-Roberto Razo-Hernández</x:v>
      </x:c>
      <x:c r="I71" s="17" t="str">
        <x:v>Journal of Manufacturing and Materials Processing</x:v>
      </x:c>
      <x:c r="J71" s="17" t="str">
        <x:v>SUS304不锈钢线</x:v>
      </x:c>
      <x:c r="K71" s="21" t="str">
        <x:v>10.3390/jmmp9070205</x:v>
      </x:c>
      <x:c r="L71" s="21" t="str">
        <x:v>https://www.mdpi.com/2504-4494/9/7/205</x:v>
      </x:c>
      <x:c r="M71" s="21" t="str">
        <x:v>https://www.mdpi.com/2504-4494/9/7/205</x:v>
      </x:c>
      <x:c r="N71" s="17" t="str">
        <x:v>已读摘要/检索摘要并核对题录；未系统阅读全文</x:v>
      </x:c>
      <x:c r="O71" s="17" t="str">
        <x:v>—</x:v>
      </x:c>
      <x:c r="P71" s="17" t="str">
        <x:v>Crossref题名与DOI精确匹配</x:v>
      </x:c>
    </x:row>
    <x:row r="72" ht="62" customHeight="1">
      <x:c r="A72" s="26" t="str">
        <x:v>L064</x:v>
      </x:c>
      <x:c r="B72" s="27" t="n">
        <x:v>2025</x:v>
      </x:c>
      <x:c r="C72" s="26" t="str">
        <x:v>弹塑性杆与送丝</x:v>
      </x:c>
      <x:c r="D72" s="26" t="str">
        <x:v>补充</x:v>
      </x:c>
      <x:c r="E72" s="24" t="str">
        <x:v>Simulation and parameterization of nonlinear elastic behavior of cables</x:v>
      </x:c>
      <x:c r="F72" s="24" t="str">
        <x:v>可复用曲率相关弯曲刚度的反演与二维平衡算法；以参考曲率表示非弹性，未建立完整塑性演化。</x:v>
      </x:c>
      <x:c r="G72" s="24" t="str">
        <x:v>迁移数值方法、历史变量或验证流程；原文尺寸、材料和边界不等同于微米金丝成弧。</x:v>
      </x:c>
      <x:c r="H72" s="24" t="str">
        <x:v>Tian Zhao; Fabio Schneider-Jung; Joachim Linn; Ralf Müller</x:v>
      </x:c>
      <x:c r="I72" s="24" t="str">
        <x:v>Multibody System Dynamics</x:v>
      </x:c>
      <x:c r="J72" s="24" t="str">
        <x:v>电缆</x:v>
      </x:c>
      <x:c r="K72" s="28" t="str">
        <x:v>10.1007/s11044-024-10008-2</x:v>
      </x:c>
      <x:c r="L72" s="28" t="str">
        <x:v>https://consensus.app/papers/simulation-and-parameterization-of-nonlinear-elastic-zhao-schneider-jung/85ff077f7170556fa327040074ab9241/</x:v>
      </x:c>
      <x:c r="M72" s="28" t="str">
        <x:v>https://link.springer.com/article/10.1007/s11044-024-10008-2</x:v>
      </x:c>
      <x:c r="N72" s="24" t="str">
        <x:v>已读摘要/检索摘要并核对题录；未系统阅读全文</x:v>
      </x:c>
      <x:c r="O72" s="24" t="str">
        <x:v>在线2024，期刊63卷2025。 在线2024-7-22；主年份采用正式卷期。</x:v>
      </x:c>
      <x:c r="P72" s="24" t="str">
        <x:v>Crossref题名与DOI精确匹配</x:v>
      </x:c>
    </x:row>
    <x:row r="73" ht="62" customHeight="1">
      <x:c r="A73" s="19" t="str">
        <x:v>L065</x:v>
      </x:c>
      <x:c r="B73" s="20" t="n">
        <x:v>2024</x:v>
      </x:c>
      <x:c r="C73" s="19" t="str">
        <x:v>弹塑性杆与送丝</x:v>
      </x:c>
      <x:c r="D73" s="19" t="str">
        <x:v>核心</x:v>
      </x:c>
      <x:c r="E73" s="17" t="str">
        <x:v>A Stationary Streamline Integration Algorithm for Elastic-Plastic Bending of an Axially Moving Beam</x:v>
      </x:c>
      <x:c r="F73" s="17" t="str">
        <x:v>针对稳态轴向移动梁的塑性历史输运，可借鉴内部变量保持方法。</x:v>
      </x:c>
      <x:c r="G73" s="17" t="str">
        <x:v>原算法为稳态流线积分；瞬态成弧与变长送丝需另行推导，材料及接触边界也需验证。</x:v>
      </x:c>
      <x:c r="H73" s="17" t="str">
        <x:v>J. Scheidl</x:v>
      </x:c>
      <x:c r="I73" s="17" t="str">
        <x:v>Civil-Comp Conferences</x:v>
      </x:c>
      <x:c r="J73" s="17" t="str">
        <x:v>轴向移动弹塑性梁</x:v>
      </x:c>
      <x:c r="K73" s="21" t="str">
        <x:v>10.4203/ccc.9.6.1</x:v>
      </x:c>
      <x:c r="L73" s="21" t="str">
        <x:v>https://www.ctresources.info/ccc/download/ccc.10019.pdf</x:v>
      </x:c>
      <x:c r="M73" s="21" t="str">
        <x:v>https://www.ctresources.info/ccc/download/ccc.10019.pdf</x:v>
      </x:c>
      <x:c r="N73" s="17" t="str">
        <x:v>已读摘要/检索摘要并核对题录；未系统阅读全文</x:v>
      </x:c>
      <x:c r="O73" s="17" t="str">
        <x:v>—</x:v>
      </x:c>
      <x:c r="P73" s="17" t="str">
        <x:v>Crossref题名与DOI精确匹配</x:v>
      </x:c>
    </x:row>
    <x:row r="74" ht="62" customHeight="1">
      <x:c r="A74" s="26" t="str">
        <x:v>L066</x:v>
      </x:c>
      <x:c r="B74" s="27" t="n">
        <x:v>2024</x:v>
      </x:c>
      <x:c r="C74" s="26" t="str">
        <x:v>弹塑性杆与送丝</x:v>
      </x:c>
      <x:c r="D74" s="26" t="str">
        <x:v>补充</x:v>
      </x:c>
      <x:c r="E74" s="24" t="str">
        <x:v>Data based constitutive modelling of rate independent inelastic effects in composite cables using Preisach hysteresis operators</x:v>
      </x:c>
      <x:c r="F74" s="24" t="str">
        <x:v>为弯矩曲率滞回及初次与后续循环差异提供标定方法，复合电缆结果不能直接等同单根金丝。</x:v>
      </x:c>
      <x:c r="G74" s="24" t="str">
        <x:v>迁移数值方法、历史变量或验证流程；原文尺寸、材料和边界不等同于微米金丝成弧。</x:v>
      </x:c>
      <x:c r="H74" s="24" t="str">
        <x:v>Davide Manfredo; Vanessa Dörlich; Joachim Linn; Martin Arnold</x:v>
      </x:c>
      <x:c r="I74" s="24" t="str">
        <x:v>Multibody System Dynamics</x:v>
      </x:c>
      <x:c r="J74" s="24" t="str">
        <x:v>复合电缆</x:v>
      </x:c>
      <x:c r="K74" s="28" t="str">
        <x:v>10.1007/s11044-023-09910-y</x:v>
      </x:c>
      <x:c r="L74" s="28" t="str">
        <x:v>https://consensus.app/papers/data-based-constitutive-modelling-of-rate-independent-manfredo-linn/f97eaa98e4145c36aef9d9cf7d34a47f/</x:v>
      </x:c>
      <x:c r="M74" s="28" t="str">
        <x:v>https://link.springer.com/article/10.1007/s11044-023-09910-y</x:v>
      </x:c>
      <x:c r="N74" s="24" t="str">
        <x:v>已读摘要/检索摘要并核对题录；未系统阅读全文</x:v>
      </x:c>
      <x:c r="O74" s="24" t="str">
        <x:v>在线2023-05-04；正式卷期2024-12，主年份按卷期。</x:v>
      </x:c>
      <x:c r="P74" s="24" t="str">
        <x:v>Crossref题名与DOI精确匹配</x:v>
      </x:c>
    </x:row>
    <x:row r="75" ht="62" customHeight="1">
      <x:c r="A75" s="19" t="str">
        <x:v>L067</x:v>
      </x:c>
      <x:c r="B75" s="20" t="n">
        <x:v>2024</x:v>
      </x:c>
      <x:c r="C75" s="19" t="str">
        <x:v>弹塑性杆与送丝</x:v>
      </x:c>
      <x:c r="D75" s="19" t="str">
        <x:v>补充</x:v>
      </x:c>
      <x:c r="E75" s="17" t="str">
        <x:v>Design and Implementation of a Versatile Flexible 3D Wire Bending Machine with Accuracy Algorithm</x:v>
      </x:c>
      <x:c r="F75" s="17" t="str">
        <x:v>可借鉴供丝长度、弯曲角与回弹误差的校准流程，属于毫米级线材设备验证，不能直接作金丝材料模型。</x:v>
      </x:c>
      <x:c r="G75" s="17" t="str">
        <x:v>迁移数值方法、历史变量或验证流程；原文尺寸、材料和边界不等同于微米金丝成弧。</x:v>
      </x:c>
      <x:c r="H75" s="17" t="str">
        <x:v>Mohammed O. Farhan; Mohanned M.H. AL-Khafaji; Muhannad Q. Abood</x:v>
      </x:c>
      <x:c r="I75" s="17" t="str">
        <x:v>Advances in Science and Technology Research Journal</x:v>
      </x:c>
      <x:c r="J75" s="17" t="str">
        <x:v>铝线3.2毫米/铜线3.25毫米/钢线2.5毫米</x:v>
      </x:c>
      <x:c r="K75" s="21" t="str">
        <x:v>10.12913/22998624/180310</x:v>
      </x:c>
      <x:c r="L75" s="21" t="str">
        <x:v>https://www.astrj.com/Design-and-Implementation-of-a-Versatile-Flexible-3D-Wire-Bending-Machine-with-Accuracy%2C180310%2C0%2C1.html</x:v>
      </x:c>
      <x:c r="M75" s="21" t="str">
        <x:v>https://www.astrj.com/Design-and-Implementation-of-a-Versatile-Flexible-3D-Wire-Bending-Machine-with-Accuracy%2C180310%2C0%2C1.html</x:v>
      </x:c>
      <x:c r="N75" s="17" t="str">
        <x:v>已读摘要/检索摘要并核对题录；未系统阅读全文</x:v>
      </x:c>
      <x:c r="O75" s="17" t="str">
        <x:v>—</x:v>
      </x:c>
      <x:c r="P75" s="17" t="str">
        <x:v>Crossref题名与DOI精确匹配</x:v>
      </x:c>
    </x:row>
    <x:row r="76" ht="62" customHeight="1">
      <x:c r="A76" s="26" t="str">
        <x:v>L068</x:v>
      </x:c>
      <x:c r="B76" s="27" t="n">
        <x:v>2024</x:v>
      </x:c>
      <x:c r="C76" s="26" t="str">
        <x:v>弹塑性杆与送丝</x:v>
      </x:c>
      <x:c r="D76" s="26" t="str">
        <x:v>补充</x:v>
      </x:c>
      <x:c r="E76" s="24" t="str">
        <x:v>Modular 3D roller straightening – a new approach to straightening and forming of spring steel wires (X10CrNi18-8)</x:v>
      </x:c>
      <x:c r="F76" s="24" t="str">
        <x:v>提供送丝前残余应力与曲率的控制实验，支持区分原材料状态与成弧路径产生的塑性历史。</x:v>
      </x:c>
      <x:c r="G76" s="24" t="str">
        <x:v>迁移数值方法、历史变量或验证流程；原文尺寸、材料和边界不等同于微米金丝成弧。</x:v>
      </x:c>
      <x:c r="H76" s="24" t="str">
        <x:v>F. DAHMS</x:v>
      </x:c>
      <x:c r="I76" s="24" t="str">
        <x:v>Materials Research Proceedings</x:v>
      </x:c>
      <x:c r="J76" s="24" t="str">
        <x:v>X10CrNi18-8弹簧钢线</x:v>
      </x:c>
      <x:c r="K76" s="28" t="str">
        <x:v>10.21741/9781644903131-154</x:v>
      </x:c>
      <x:c r="L76" s="28" t="str">
        <x:v>https://consensus.app/papers/modular-3d-roller-straightening-–-a-new-approach-to-dahms/686370868634572d8a0be2cd95ef8f02/</x:v>
      </x:c>
      <x:c r="M76" s="28" t="str">
        <x:v>https://mrforum.com/wp-content/uploads/open_access/9781644903131/154.pdf</x:v>
      </x:c>
      <x:c r="N76" s="24" t="str">
        <x:v>已读摘要/检索摘要并核对题录；未系统阅读全文</x:v>
      </x:c>
      <x:c r="O76" s="24" t="str">
        <x:v>—</x:v>
      </x:c>
      <x:c r="P76" s="24" t="str">
        <x:v>Crossref题名与DOI精确匹配</x:v>
      </x:c>
    </x:row>
    <x:row r="77" ht="62" customHeight="1">
      <x:c r="A77" s="19" t="str">
        <x:v>L069</x:v>
      </x:c>
      <x:c r="B77" s="20" t="n">
        <x:v>2024</x:v>
      </x:c>
      <x:c r="C77" s="19" t="str">
        <x:v>弹塑性杆与送丝</x:v>
      </x:c>
      <x:c r="D77" s="19" t="str">
        <x:v>补充</x:v>
      </x:c>
      <x:c r="E77" s="17" t="str">
        <x:v>TAMP for 3D Curving—A Low-Payload Robot Arm Works Aside a Bending Machine to Curve High-Stiffness Metal Wires</x:v>
      </x:c>
      <x:c r="F77" s="17" t="str">
        <x:v>可借鉴目标曲线离散成弯曲序列与视觉回弹补偿，宏观金属线规划需另验证微米金丝尺度。</x:v>
      </x:c>
      <x:c r="G77" s="17" t="str">
        <x:v>迁移数值方法、历史变量或验证流程；原文尺寸、材料和边界不等同于微米金丝成弧。</x:v>
      </x:c>
      <x:c r="H77" s="17" t="str">
        <x:v>Ruishuang Liu; Weiwei Wan; Kensuke Harada</x:v>
      </x:c>
      <x:c r="I77" s="17" t="str">
        <x:v>IEEE Transactions on Automation Science and Engineering</x:v>
      </x:c>
      <x:c r="J77" s="17" t="str">
        <x:v>高刚度金属线</x:v>
      </x:c>
      <x:c r="K77" s="21" t="str">
        <x:v>10.1109/tase.2023.3300998</x:v>
      </x:c>
      <x:c r="L77" s="21" t="str">
        <x:v>https://consensus.app/papers/tamp-for-3d-curving—a-lowpayload-robot-arm-works-aside-a-liu-wan/6333fc5180d15b62ae2101afc9c9655e/</x:v>
      </x:c>
      <x:c r="M77" s="21" t="str">
        <x:v>https://doi.org/10.1109/tase.2023.3300998</x:v>
      </x:c>
      <x:c r="N77" s="17" t="str">
        <x:v>已读摘要/检索摘要并核对题录；未系统阅读全文</x:v>
      </x:c>
      <x:c r="O77" s="17" t="str">
        <x:v>—</x:v>
      </x:c>
      <x:c r="P77" s="17" t="str">
        <x:v>Crossref题名与DOI精确匹配</x:v>
      </x:c>
    </x:row>
    <x:row r="78" ht="62" customHeight="1">
      <x:c r="A78" s="26" t="str">
        <x:v>L070</x:v>
      </x:c>
      <x:c r="B78" s="27" t="n">
        <x:v>2023</x:v>
      </x:c>
      <x:c r="C78" s="26" t="str">
        <x:v>弹塑性杆与送丝</x:v>
      </x:c>
      <x:c r="D78" s="23" t="str">
        <x:v>先读</x:v>
      </x:c>
      <x:c r="E78" s="24" t="str">
        <x:v>Two-scale off-and online approaches to geometrically exact elastoplastic rods</x:v>
      </x:c>
      <x:c r="F78" s="24" t="str">
        <x:v>为金丝纤维截面历史变量和力矩合力模型提供两种实现路线，支持准确性与计算代价权衡。</x:v>
      </x:c>
      <x:c r="G78" s="24" t="str">
        <x:v>迁移数值方法、历史变量或验证流程；原文尺寸、材料和边界不等同于微米金丝成弧。</x:v>
      </x:c>
      <x:c r="H78" s="24" t="str">
        <x:v>Ludwig Herrnböck; Ajeet Kumar; Paul Steinmann</x:v>
      </x:c>
      <x:c r="I78" s="24" t="str">
        <x:v>Computational Mechanics</x:v>
      </x:c>
      <x:c r="J78" s="24" t="str">
        <x:v>圆截面弹塑性杆</x:v>
      </x:c>
      <x:c r="K78" s="28" t="str">
        <x:v>10.1007/s00466-022-02204-8</x:v>
      </x:c>
      <x:c r="L78" s="28" t="str">
        <x:v>https://link.springer.com/article/10.1007/s00466-022-02204-8</x:v>
      </x:c>
      <x:c r="M78" s="28" t="str">
        <x:v>https://link.springer.com/article/10.1007/s00466-022-02204-8</x:v>
      </x:c>
      <x:c r="N78" s="24" t="str">
        <x:v>已读摘要/检索摘要并核对题录；未系统阅读全文</x:v>
      </x:c>
      <x:c r="O78" s="24" t="str">
        <x:v>在线2022，期刊71卷2023。 在线2022-7-2；主年份采用正式卷期。</x:v>
      </x:c>
      <x:c r="P78" s="24" t="str">
        <x:v>Crossref题名与DOI精确匹配</x:v>
      </x:c>
    </x:row>
    <x:row r="79" ht="62" customHeight="1">
      <x:c r="A79" s="19" t="str">
        <x:v>L071</x:v>
      </x:c>
      <x:c r="B79" s="20" t="n">
        <x:v>2023</x:v>
      </x:c>
      <x:c r="C79" s="19" t="str">
        <x:v>弹塑性杆与送丝</x:v>
      </x:c>
      <x:c r="D79" s="19" t="str">
        <x:v>核心</x:v>
      </x:c>
      <x:c r="E79" s="17" t="str">
        <x:v>Uniformly strained anisotropic elastoplastic rods: Determination of elastoplastic constitutive relations and yield surface in terms of rod’s variables</x:v>
      </x:c>
      <x:c r="F79" s="17" t="str">
        <x:v>可参考金丝拉制织构与各向异性对截面塑性和刚度的影响，比纯各向同性弯曲模型更完整。</x:v>
      </x:c>
      <x:c r="G79" s="17" t="str">
        <x:v>迁移数值方法、历史变量或验证流程；原文尺寸、材料和边界不等同于微米金丝成弧。</x:v>
      </x:c>
      <x:c r="H79" s="17" t="str">
        <x:v>Vinayak; Smriti; Ajeet Kumar</x:v>
      </x:c>
      <x:c r="I79" s="17" t="str">
        <x:v>European Journal of Mechanics - A/Solids</x:v>
      </x:c>
      <x:c r="J79" s="17" t="str">
        <x:v>各向异性弹塑性圆杆</x:v>
      </x:c>
      <x:c r="K79" s="21" t="str">
        <x:v>10.1016/j.euromechsol.2022.104867</x:v>
      </x:c>
      <x:c r="L79" s="21" t="str">
        <x:v>https://www.sciencedirect.com/science/article/pii/S0997753822002972</x:v>
      </x:c>
      <x:c r="M79" s="21" t="str">
        <x:v>https://www.sciencedirect.com/science/article/pii/S0997753822002972</x:v>
      </x:c>
      <x:c r="N79" s="17" t="str">
        <x:v>已读摘要/检索摘要并核对题录；未系统阅读全文</x:v>
      </x:c>
      <x:c r="O79" s="17" t="str">
        <x:v>—</x:v>
      </x:c>
      <x:c r="P79" s="17" t="str">
        <x:v>Crossref题名与DOI精确匹配</x:v>
      </x:c>
    </x:row>
    <x:row r="80" ht="62" customHeight="1">
      <x:c r="A80" s="26" t="str">
        <x:v>L072</x:v>
      </x:c>
      <x:c r="B80" s="27" t="n">
        <x:v>2023</x:v>
      </x:c>
      <x:c r="C80" s="26" t="str">
        <x:v>弹塑性杆与送丝</x:v>
      </x:c>
      <x:c r="D80" s="26" t="str">
        <x:v>补充</x:v>
      </x:c>
      <x:c r="E80" s="24" t="str">
        <x:v>A Fully Implicit Method for Robust Frictional Contact Handling in Elastic Rods</x:v>
      </x:c>
      <x:c r="F80" s="24" t="str">
        <x:v>提供隐式摩擦接触与接触势求解，可用于瓷嘴与线段接触扩展，材料仍须另加塑性历史。</x:v>
      </x:c>
      <x:c r="G80" s="24" t="str">
        <x:v>迁移数值方法、历史变量或验证流程；原文尺寸、材料和边界不等同于微米金丝成弧。</x:v>
      </x:c>
      <x:c r="H80" s="24" t="str">
        <x:v>Dezhong Tong; Andrew Choi; Jungseock Joo; M. Khalid Jawed</x:v>
      </x:c>
      <x:c r="I80" s="24" t="str">
        <x:v>Extreme Mechanics Letters</x:v>
      </x:c>
      <x:c r="J80" s="24" t="str">
        <x:v>弹性细杆</x:v>
      </x:c>
      <x:c r="K80" s="28" t="str">
        <x:v>10.1016/j.eml.2022.101924</x:v>
      </x:c>
      <x:c r="L80" s="28" t="str">
        <x:v>https://consensus.app/papers/a-fully-implicit-method-for-robust-frictional-contact-tong-choi/cdac548d962d58998140ad7c74804d05/</x:v>
      </x:c>
      <x:c r="M80" s="28" t="str">
        <x:v>https://www.sciencedirect.com/science/article/pii/S2352431622002000</x:v>
      </x:c>
      <x:c r="N80" s="24" t="str">
        <x:v>已读摘要/检索摘要并核对题录；未系统阅读全文</x:v>
      </x:c>
      <x:c r="O80" s="24" t="str">
        <x:v>2022为arXiv与在线记录；期刊58卷2023，只计期刊一篇。</x:v>
      </x:c>
      <x:c r="P80" s="24" t="str">
        <x:v>Crossref题名与DOI精确匹配</x:v>
      </x:c>
    </x:row>
    <x:row r="81" ht="62" customHeight="1">
      <x:c r="A81" s="19" t="str">
        <x:v>L073</x:v>
      </x:c>
      <x:c r="B81" s="20" t="n">
        <x:v>2023</x:v>
      </x:c>
      <x:c r="C81" s="19" t="str">
        <x:v>弹塑性杆与送丝</x:v>
      </x:c>
      <x:c r="D81" s="19" t="str">
        <x:v>补充</x:v>
      </x:c>
      <x:c r="E81" s="17" t="str">
        <x:v>Bend-Forming: A CNC deformation process for fabricating 3D wireframe structures</x:v>
      </x:c>
      <x:c r="F81" s="17" t="str">
        <x:v>可参考轨迹指令转换及线材初始曲率导致的几何误差传播，宏观线框工艺与键合成弧机制应区分。</x:v>
      </x:c>
      <x:c r="G81" s="17" t="str">
        <x:v>迁移数值方法、历史变量或验证流程；原文尺寸、材料和边界不等同于微米金丝成弧。</x:v>
      </x:c>
      <x:c r="H81" s="17" t="str">
        <x:v>Harsh G. Bhundiya; Zachary C. Cordero</x:v>
      </x:c>
      <x:c r="I81" s="17" t="str">
        <x:v>Additive Manufacturing Letters</x:v>
      </x:c>
      <x:c r="J81" s="17" t="str">
        <x:v>延性金属线材</x:v>
      </x:c>
      <x:c r="K81" s="21" t="str">
        <x:v>10.1016/j.addlet.2023.100146</x:v>
      </x:c>
      <x:c r="L81" s="21" t="str">
        <x:v>https://www.sciencedirect.com/science/article/pii/S2772369023000270</x:v>
      </x:c>
      <x:c r="M81" s="21" t="str">
        <x:v>https://www.sciencedirect.com/science/article/pii/S2772369023000270</x:v>
      </x:c>
      <x:c r="N81" s="17" t="str">
        <x:v>已读摘要/检索摘要并核对题录；未系统阅读全文</x:v>
      </x:c>
      <x:c r="O81" s="17" t="str">
        <x:v>—</x:v>
      </x:c>
      <x:c r="P81" s="17" t="str">
        <x:v>Crossref题名与DOI精确匹配</x:v>
      </x:c>
    </x:row>
    <x:row r="82" ht="62" customHeight="1">
      <x:c r="A82" s="26" t="str">
        <x:v>L074</x:v>
      </x:c>
      <x:c r="B82" s="27" t="n">
        <x:v>2023</x:v>
      </x:c>
      <x:c r="C82" s="26" t="str">
        <x:v>弹塑性杆与送丝</x:v>
      </x:c>
      <x:c r="D82" s="26" t="str">
        <x:v>补充</x:v>
      </x:c>
      <x:c r="E82" s="24" t="str">
        <x:v>Innovative self-learning disturbance compensation for straightening processes</x:v>
      </x:c>
      <x:c r="F82" s="24" t="str">
        <x:v>可参考沿线卷长度变化的残余曲率扰动模型与在线补偿，但该论文以控制策略为主。</x:v>
      </x:c>
      <x:c r="G82" s="24" t="str">
        <x:v>迁移数值方法、历史变量或验证流程；原文尺寸、材料和边界不等同于微米金丝成弧。</x:v>
      </x:c>
      <x:c r="H82" s="24" t="str">
        <x:v>L. BATHELT</x:v>
      </x:c>
      <x:c r="I82" s="24" t="str">
        <x:v>Materials Research Proceedings</x:v>
      </x:c>
      <x:c r="J82" s="24" t="str">
        <x:v>高强度金属扁线</x:v>
      </x:c>
      <x:c r="K82" s="28" t="str">
        <x:v>10.21741/9781644902479-216</x:v>
      </x:c>
      <x:c r="L82" s="28" t="str">
        <x:v>https://consensus.app/papers/innovative-selflearning-disturbance-compensation-for-bathelt/8378ae1c86cb587087c6a1f6c4e80fda/</x:v>
      </x:c>
      <x:c r="M82" s="28" t="str">
        <x:v>https://doi.org/10.21741/9781644902479-216</x:v>
      </x:c>
      <x:c r="N82" s="24" t="str">
        <x:v>已读摘要/检索摘要并核对题录；未系统阅读全文</x:v>
      </x:c>
      <x:c r="O82" s="24" t="str">
        <x:v>—</x:v>
      </x:c>
      <x:c r="P82" s="24" t="str">
        <x:v>Crossref题名与DOI精确匹配</x:v>
      </x:c>
    </x:row>
    <x:row r="83" ht="62" customHeight="1">
      <x:c r="A83" s="19" t="str">
        <x:v>L075</x:v>
      </x:c>
      <x:c r="B83" s="20" t="n">
        <x:v>2023</x:v>
      </x:c>
      <x:c r="C83" s="19" t="str">
        <x:v>弹塑性杆与送丝</x:v>
      </x:c>
      <x:c r="D83" s="19" t="str">
        <x:v>补充</x:v>
      </x:c>
      <x:c r="E83" s="17" t="str">
        <x:v>Novel Straightening-Machine Design with Integrated Force Measurement for Straightening of High-Strength Flat Wire</x:v>
      </x:c>
      <x:c r="F83" s="17" t="str">
        <x:v>提供弯曲力测量与进给张力控制方法，支持金丝送丝张力和截面塑性参数的实验设计。</x:v>
      </x:c>
      <x:c r="G83" s="17" t="str">
        <x:v>迁移数值方法、历史变量或验证流程；原文尺寸、材料和边界不等同于微米金丝成弧。</x:v>
      </x:c>
      <x:c r="H83" s="17" t="str">
        <x:v>Lukas Bathelt; Maximilian Scurk; Eugen Djakow; Christian Henke; Ansgar Trächtler</x:v>
      </x:c>
      <x:c r="I83" s="17" t="str">
        <x:v>Sensors</x:v>
      </x:c>
      <x:c r="J83" s="17" t="str">
        <x:v>高强度金属扁线</x:v>
      </x:c>
      <x:c r="K83" s="21" t="str">
        <x:v>10.3390/s23229091</x:v>
      </x:c>
      <x:c r="L83" s="21" t="str">
        <x:v>https://consensus.app/papers/novel-straighteningmachine-design-with-integrated-force-bathelt-scurk/92fec0902e3351939d99840f88a858da/</x:v>
      </x:c>
      <x:c r="M83" s="21" t="str">
        <x:v>https://www.mdpi.com/1424-8220/23/22/9091</x:v>
      </x:c>
      <x:c r="N83" s="17" t="str">
        <x:v>已读摘要/检索摘要并核对题录；未系统阅读全文</x:v>
      </x:c>
      <x:c r="O83" s="17" t="str">
        <x:v>—</x:v>
      </x:c>
      <x:c r="P83" s="17" t="str">
        <x:v>Crossref题名与DOI精确匹配</x:v>
      </x:c>
    </x:row>
    <x:row r="84" ht="62" customHeight="1">
      <x:c r="A84" s="26" t="str">
        <x:v>L076</x:v>
      </x:c>
      <x:c r="B84" s="27" t="n">
        <x:v>2023</x:v>
      </x:c>
      <x:c r="C84" s="26" t="str">
        <x:v>弹塑性杆与送丝</x:v>
      </x:c>
      <x:c r="D84" s="26" t="str">
        <x:v>补充</x:v>
      </x:c>
      <x:c r="E84" s="24" t="str">
        <x:v>Review and perspectives in applied mechanics of axially moving flexible structures</x:v>
      </x:c>
      <x:c r="F84" s="24" t="str">
        <x:v>为金丝连续供丝与瓷嘴约束下的变长边界选择提供综述，重点检查材料坐标和历史输运。</x:v>
      </x:c>
      <x:c r="G84" s="24" t="str">
        <x:v>迁移数值方法、历史变量或验证流程；原文尺寸、材料和边界不等同于微米金丝成弧。</x:v>
      </x:c>
      <x:c r="H84" s="24" t="str">
        <x:v>Jakob Scheidl; Yury Vetyukov</x:v>
      </x:c>
      <x:c r="I84" s="24" t="str">
        <x:v>Acta Mechanica</x:v>
      </x:c>
      <x:c r="J84" s="24" t="str">
        <x:v>轴向移动线、梁与柔性结构</x:v>
      </x:c>
      <x:c r="K84" s="28" t="str">
        <x:v>10.1007/s00707-023-03514-5</x:v>
      </x:c>
      <x:c r="L84" s="28" t="str">
        <x:v>https://link.springer.com/article/10.1007/s00707-023-03514-5</x:v>
      </x:c>
      <x:c r="M84" s="28" t="str">
        <x:v>https://link.springer.com/article/10.1007/s00707-023-03514-5</x:v>
      </x:c>
      <x:c r="N84" s="24" t="str">
        <x:v>已读摘要/检索摘要并核对题录；未系统阅读全文</x:v>
      </x:c>
      <x:c r="O84" s="24" t="str">
        <x:v>—</x:v>
      </x:c>
      <x:c r="P84" s="24" t="str">
        <x:v>Crossref题名与DOI精确匹配</x:v>
      </x:c>
    </x:row>
    <x:row r="85" ht="62" customHeight="1">
      <x:c r="A85" s="19" t="str">
        <x:v>L077</x:v>
      </x:c>
      <x:c r="B85" s="20" t="n">
        <x:v>2023</x:v>
      </x:c>
      <x:c r="C85" s="19" t="str">
        <x:v>弹塑性杆与送丝</x:v>
      </x:c>
      <x:c r="D85" s="19" t="str">
        <x:v>补充</x:v>
      </x:c>
      <x:c r="E85" s="17" t="str">
        <x:v>Variational approach for nonsmooth elasto-plastic dynamics with contact and impacts</x:v>
      </x:c>
      <x:c r="F85" s="17" t="str">
        <x:v>将接触与塑性统一求解并控制离散能量，适合评估瓷嘴接触阶段的稳定性，冲击假设需核查。</x:v>
      </x:c>
      <x:c r="G85" s="17" t="str">
        <x:v>迁移数值方法、历史变量或验证流程；原文尺寸、材料和边界不等同于微米金丝成弧。</x:v>
      </x:c>
      <x:c r="H85" s="17" t="str">
        <x:v>Vincent Acary; Franck Bourrier; Benoit Viano</x:v>
      </x:c>
      <x:c r="I85" s="17" t="str">
        <x:v>Computer Methods in Applied Mechanics and Engineering</x:v>
      </x:c>
      <x:c r="J85" s="17" t="str">
        <x:v>钢梁结构</x:v>
      </x:c>
      <x:c r="K85" s="21" t="str">
        <x:v>10.1016/j.cma.2023.116156</x:v>
      </x:c>
      <x:c r="L85" s="21" t="str">
        <x:v>https://consensus.app/papers/variational-approach-for-nonsmooth-elastoplastic-acary-bourrier/2ca7e67607c75bb484aa877f074286d9/</x:v>
      </x:c>
      <x:c r="M85" s="21" t="str">
        <x:v>https://doi.org/10.1016/j.cma.2023.116156</x:v>
      </x:c>
      <x:c r="N85" s="17" t="str">
        <x:v>已读摘要/检索摘要并核对题录；未系统阅读全文</x:v>
      </x:c>
      <x:c r="O85" s="17" t="str">
        <x:v>—</x:v>
      </x:c>
      <x:c r="P85" s="17" t="str">
        <x:v>Crossref题名与DOI精确匹配</x:v>
      </x:c>
    </x:row>
    <x:row r="86" ht="62" customHeight="1">
      <x:c r="A86" s="26" t="str">
        <x:v>L078</x:v>
      </x:c>
      <x:c r="B86" s="27" t="n">
        <x:v>2022</x:v>
      </x:c>
      <x:c r="C86" s="26" t="str">
        <x:v>弹塑性杆与送丝</x:v>
      </x:c>
      <x:c r="D86" s="26" t="str">
        <x:v>核心</x:v>
      </x:c>
      <x:c r="E86" s="24" t="str">
        <x:v>Analysis of springback for multiple bending considering nonlinear unloading-reloading behavior, stress inheritance and Bauschinger effect</x:v>
      </x:c>
      <x:c r="F86" s="24" t="str">
        <x:v>多次正反弯曲中的残余应力继承、包辛格效应和卸载非线性，直接支持金丝折弯顺序建模。</x:v>
      </x:c>
      <x:c r="G86" s="24" t="str">
        <x:v>迁移数值方法、历史变量或验证流程；原文尺寸、材料和边界不等同于微米金丝成弧。</x:v>
      </x:c>
      <x:c r="H86" s="24" t="str">
        <x:v>Qingdang Meng; Ruixue Zhai; Yu Zhang; Pengcheng Fu; Jun Zhao</x:v>
      </x:c>
      <x:c r="I86" s="24" t="str">
        <x:v>Journal of Materials Processing Technology</x:v>
      </x:c>
      <x:c r="J86" s="24" t="str">
        <x:v>6061铝合金矩形梁</x:v>
      </x:c>
      <x:c r="K86" s="28" t="str">
        <x:v>10.1016/j.jmatprotec.2022.117657</x:v>
      </x:c>
      <x:c r="L86" s="28" t="str">
        <x:v>https://consensus.app/papers/analysis-of-springback-for-multiple-bending-considering-meng-zhai/cb0f171895c7572e88ae8d6cfece8815/</x:v>
      </x:c>
      <x:c r="M86" s="28" t="str">
        <x:v>https://doi.org/10.1016/j.jmatprotec.2022.117657</x:v>
      </x:c>
      <x:c r="N86" s="24" t="str">
        <x:v>已读摘要/检索摘要并核对题录；未系统阅读全文</x:v>
      </x:c>
      <x:c r="O86" s="24" t="str">
        <x:v>—</x:v>
      </x:c>
      <x:c r="P86" s="24" t="str">
        <x:v>Crossref题名与DOI精确匹配</x:v>
      </x:c>
    </x:row>
    <x:row r="87" ht="62" customHeight="1">
      <x:c r="A87" s="19" t="str">
        <x:v>L079</x:v>
      </x:c>
      <x:c r="B87" s="20" t="n">
        <x:v>2022</x:v>
      </x:c>
      <x:c r="C87" s="19" t="str">
        <x:v>弹塑性杆与送丝</x:v>
      </x:c>
      <x:c r="D87" s="19" t="str">
        <x:v>核心</x:v>
      </x:c>
      <x:c r="E87" s="17" t="str">
        <x:v>Springback prediction of multiple reciprocating bending based on different hardening models</x:v>
      </x:c>
      <x:c r="F87" s="17" t="str">
        <x:v>比较不同循环硬化模型对多次弯曲回弹的误差，为金丝二次折弯的材料模型选择提供依据。</x:v>
      </x:c>
      <x:c r="G87" s="17" t="str">
        <x:v>迁移数值方法、历史变量或验证流程；原文尺寸、材料和边界不等同于微米金丝成弧。</x:v>
      </x:c>
      <x:c r="H87" s="17" t="str">
        <x:v>Qingdang Meng; Jun Zhao; Zhenkai Mu; Ruixue Zhai; Gaochao Yu</x:v>
      </x:c>
      <x:c r="I87" s="17" t="str">
        <x:v>Journal of Manufacturing Processes</x:v>
      </x:c>
      <x:c r="J87" s="17" t="str">
        <x:v>金属往复弯曲试样</x:v>
      </x:c>
      <x:c r="K87" s="21" t="str">
        <x:v>10.1016/j.jmapro.2022.01.070</x:v>
      </x:c>
      <x:c r="L87" s="21" t="str">
        <x:v>https://consensus.app/papers/springback-prediction-of-multiple-reciprocating-bending-meng-zhao/d22f82c950cf564584a7819bc86d6398/</x:v>
      </x:c>
      <x:c r="M87" s="21" t="str">
        <x:v>https://doi.org/10.1016/j.jmapro.2022.01.070</x:v>
      </x:c>
      <x:c r="N87" s="17" t="str">
        <x:v>已读摘要/检索摘要并核对题录；未系统阅读全文</x:v>
      </x:c>
      <x:c r="O87" s="17" t="str">
        <x:v>—</x:v>
      </x:c>
      <x:c r="P87" s="17" t="str">
        <x:v>Crossref题名与DOI精确匹配</x:v>
      </x:c>
    </x:row>
    <x:row r="88" ht="62" customHeight="1">
      <x:c r="A88" s="26" t="str">
        <x:v>L080</x:v>
      </x:c>
      <x:c r="B88" s="27" t="n">
        <x:v>2022</x:v>
      </x:c>
      <x:c r="C88" s="26" t="str">
        <x:v>弹塑性杆与送丝</x:v>
      </x:c>
      <x:c r="D88" s="26" t="str">
        <x:v>补充</x:v>
      </x:c>
      <x:c r="E88" s="24" t="str">
        <x:v>A mode-matching method for the prediction of stick-slip relative motion of two elastic rods in frictional contact</x:v>
      </x:c>
      <x:c r="F88" s="24" t="str">
        <x:v>用于参考送丝滑动中的粘滑分段与计算效率，原模型仅为轴向接触弹性杆，非成弧弯曲模型。</x:v>
      </x:c>
      <x:c r="G88" s="24" t="str">
        <x:v>迁移数值方法、历史变量或验证流程；原文尺寸、材料和边界不等同于微米金丝成弧。</x:v>
      </x:c>
      <x:c r="H88" s="24" t="str">
        <x:v>Athanasios Tsetas; Apostolos Tsouvalas; Timo Molenkamp; Andrei V. Metrikine</x:v>
      </x:c>
      <x:c r="I88" s="24" t="str">
        <x:v>Acta Mechanica</x:v>
      </x:c>
      <x:c r="J88" s="24" t="str">
        <x:v>弹性轴向杆</x:v>
      </x:c>
      <x:c r="K88" s="28" t="str">
        <x:v>10.1007/s00707-021-03132-z</x:v>
      </x:c>
      <x:c r="L88" s="28" t="str">
        <x:v>https://consensus.app/papers/a-modematching-method-for-the-prediction-of-stickslip-tsetas-tsouvalas/2ff4875562fd5597aa94a8ce34137568/</x:v>
      </x:c>
      <x:c r="M88" s="28" t="str">
        <x:v>https://doi.org/10.1007/s00707-021-03132-z</x:v>
      </x:c>
      <x:c r="N88" s="24" t="str">
        <x:v>已读摘要/检索摘要并核对题录；未系统阅读全文</x:v>
      </x:c>
      <x:c r="O88" s="24" t="str">
        <x:v>—</x:v>
      </x:c>
      <x:c r="P88" s="24" t="str">
        <x:v>Crossref题名与DOI精确匹配</x:v>
      </x:c>
    </x:row>
    <x:row r="89" ht="62" customHeight="1">
      <x:c r="A89" s="19" t="str">
        <x:v>L081</x:v>
      </x:c>
      <x:c r="B89" s="20" t="n">
        <x:v>2022</x:v>
      </x:c>
      <x:c r="C89" s="19" t="str">
        <x:v>弹塑性杆与送丝</x:v>
      </x:c>
      <x:c r="D89" s="19" t="str">
        <x:v>补充</x:v>
      </x:c>
      <x:c r="E89" s="17" t="str">
        <x:v>Innovative Assistance System for Setting up a Mechatronic Straightening Machine</x:v>
      </x:c>
      <x:c r="F89" s="17" t="str">
        <x:v>可借鉴光学曲率观测与实验仿真数据库校正弯曲参数，属于宏观矫直控制的补充验证方法。</x:v>
      </x:c>
      <x:c r="G89" s="17" t="str">
        <x:v>迁移数值方法、历史变量或验证流程；原文尺寸、材料和边界不等同于微米金丝成弧。</x:v>
      </x:c>
      <x:c r="H89" s="17" t="str">
        <x:v>Lukas Bathelt; Fabian Bader; Eugen Djakow; Christian Henke; Ansgar Trächtler; Werner Homberg</x:v>
      </x:c>
      <x:c r="I89" s="17" t="str">
        <x:v>Key Engineering Materials</x:v>
      </x:c>
      <x:c r="J89" s="17" t="str">
        <x:v>高强度金属扁线</x:v>
      </x:c>
      <x:c r="K89" s="21" t="str">
        <x:v>10.4028/p-vs07w9</x:v>
      </x:c>
      <x:c r="L89" s="21" t="str">
        <x:v>https://consensus.app/papers/innovative-assistance-system-for-setting-up-a-mechatronic-bathelt-bader/7695b70c099651b09c435b54174822fc/</x:v>
      </x:c>
      <x:c r="M89" s="21" t="str">
        <x:v>https://doi.org/10.4028/p-vs07w9</x:v>
      </x:c>
      <x:c r="N89" s="17" t="str">
        <x:v>已读摘要/检索摘要并核对题录；未系统阅读全文</x:v>
      </x:c>
      <x:c r="O89" s="17" t="str">
        <x:v>—</x:v>
      </x:c>
      <x:c r="P89" s="17" t="str">
        <x:v>Crossref题名与DOI精确匹配</x:v>
      </x:c>
    </x:row>
    <x:row r="90" ht="62" customHeight="1">
      <x:c r="A90" s="26" t="str">
        <x:v>L082</x:v>
      </x:c>
      <x:c r="B90" s="27" t="n">
        <x:v>2021</x:v>
      </x:c>
      <x:c r="C90" s="26" t="str">
        <x:v>弹塑性杆与送丝</x:v>
      </x:c>
      <x:c r="D90" s="23" t="str">
        <x:v>先读</x:v>
      </x:c>
      <x:c r="E90" s="24" t="str">
        <x:v>A finite element formulation for a direct approach to elastoplasticity in special Cosserat rods</x:v>
      </x:c>
      <x:c r="F90" s="24" t="str">
        <x:v>提供Cosserat杆内部塑性变量、返回映射及一致切线，可作为金丝历史相关成形求解的基础。</x:v>
      </x:c>
      <x:c r="G90" s="24" t="str">
        <x:v>迁移数值方法、历史变量或验证流程；原文尺寸、材料和边界不等同于微米金丝成弧。</x:v>
      </x:c>
      <x:c r="H90" s="24" t="str">
        <x:v>Smriti; Ajeet Kumar; Paul Steinmann</x:v>
      </x:c>
      <x:c r="I90" s="24" t="str">
        <x:v>International Journal for Numerical Methods in Engineering</x:v>
      </x:c>
      <x:c r="J90" s="24" t="str">
        <x:v>一般弹塑性细杆</x:v>
      </x:c>
      <x:c r="K90" s="28" t="str">
        <x:v>10.1002/nme.6566</x:v>
      </x:c>
      <x:c r="L90" s="28" t="str">
        <x:v>https://consensus.app/papers/a-finite-element-formulation-for-a-direct-approach-to-smriti-kumar/c07c9875df4e59088e3edec7d4fbec37/</x:v>
      </x:c>
      <x:c r="M90" s="28" t="str">
        <x:v>https://onlinelibrary.wiley.com/doi/10.1002/nme.6566</x:v>
      </x:c>
      <x:c r="N90" s="24" t="str">
        <x:v>已读摘要/检索摘要并核对题录；未系统阅读全文</x:v>
      </x:c>
      <x:c r="O90" s="24" t="str">
        <x:v>在线2020，期刊卷122为2021。 在线2020-10-22；主年份采用正式卷期。</x:v>
      </x:c>
      <x:c r="P90" s="24" t="str">
        <x:v>Crossref题名与DOI精确匹配</x:v>
      </x:c>
    </x:row>
    <x:row r="91" ht="62" customHeight="1">
      <x:c r="A91" s="19" t="str">
        <x:v>L083</x:v>
      </x:c>
      <x:c r="B91" s="20" t="n">
        <x:v>2021</x:v>
      </x:c>
      <x:c r="C91" s="19" t="str">
        <x:v>弹塑性杆与送丝</x:v>
      </x:c>
      <x:c r="D91" s="19" t="str">
        <x:v>核心</x:v>
      </x:c>
      <x:c r="E91" s="17" t="str">
        <x:v>Geometrically exact elastoplastic rods: determination of yield surface in terms of stress resultants</x:v>
      </x:c>
      <x:c r="F91" s="17" t="str">
        <x:v>适合建立拉伸弯曲扭转耦合的杆屈服判据，须核对部分截面屈服与硬化的适用边界。</x:v>
      </x:c>
      <x:c r="G91" s="17" t="str">
        <x:v>迁移数值方法、历史变量或验证流程；原文尺寸、材料和边界不等同于微米金丝成弧。</x:v>
      </x:c>
      <x:c r="H91" s="17" t="str">
        <x:v>Ludwig Herrnböck; Ajeet Kumar; Paul Steinmann</x:v>
      </x:c>
      <x:c r="I91" s="17" t="str">
        <x:v>Computational Mechanics</x:v>
      </x:c>
      <x:c r="J91" s="17" t="str">
        <x:v>一般弹塑性杆</x:v>
      </x:c>
      <x:c r="K91" s="21" t="str">
        <x:v>10.1007/s00466-020-01957-4</x:v>
      </x:c>
      <x:c r="L91" s="21" t="str">
        <x:v>https://link.springer.com/article/10.1007/s00466-020-01957-4</x:v>
      </x:c>
      <x:c r="M91" s="21" t="str">
        <x:v>https://link.springer.com/article/10.1007/s00466-020-01957-4</x:v>
      </x:c>
      <x:c r="N91" s="17" t="str">
        <x:v>已读摘要/检索摘要并核对题录；未系统阅读全文</x:v>
      </x:c>
      <x:c r="O91" s="17" t="str">
        <x:v>—</x:v>
      </x:c>
      <x:c r="P91" s="17" t="str">
        <x:v>Crossref题名与DOI精确匹配</x:v>
      </x:c>
    </x:row>
    <x:row r="92" ht="62" customHeight="1">
      <x:c r="A92" s="26" t="str">
        <x:v>L084</x:v>
      </x:c>
      <x:c r="B92" s="27" t="n">
        <x:v>2021</x:v>
      </x:c>
      <x:c r="C92" s="26" t="str">
        <x:v>弹塑性杆与送丝</x:v>
      </x:c>
      <x:c r="D92" s="26" t="str">
        <x:v>补充</x:v>
      </x:c>
      <x:c r="E92" s="24" t="str">
        <x:v>Implicit Contact Model for Discrete Elastic Rods in Knot Tying</x:v>
      </x:c>
      <x:c r="F92" s="24" t="str">
        <x:v>可复用光滑线段距离、接触力与雅可比的隐式算法；弹性杆验证不包含金丝塑性。</x:v>
      </x:c>
      <x:c r="G92" s="24" t="str">
        <x:v>迁移数值方法、历史变量或验证流程；原文尺寸、材料和边界不等同于微米金丝成弧。</x:v>
      </x:c>
      <x:c r="H92" s="24" t="str">
        <x:v>Andrew Choi; Dezhong Tong; Mohammad K. Jawed; Jungseock Joo</x:v>
      </x:c>
      <x:c r="I92" s="24" t="str">
        <x:v>Journal of Applied Mechanics</x:v>
      </x:c>
      <x:c r="J92" s="24" t="str">
        <x:v>弹性细杆</x:v>
      </x:c>
      <x:c r="K92" s="28" t="str">
        <x:v>10.1115/1.4050238</x:v>
      </x:c>
      <x:c r="L92" s="28" t="str">
        <x:v>https://consensus.app/papers/implicit-contact-model-for-discrete-elastic-rods-in-knot-choi-tong/134f354156dc5308b624087c1d2aa244/</x:v>
      </x:c>
      <x:c r="M92" s="28" t="str">
        <x:v>https://doi.org/10.1115/1.4050238</x:v>
      </x:c>
      <x:c r="N92" s="24" t="str">
        <x:v>已读摘要/检索摘要并核对题录；未系统阅读全文</x:v>
      </x:c>
      <x:c r="O92" s="24" t="str">
        <x:v>—</x:v>
      </x:c>
      <x:c r="P92" s="24" t="str">
        <x:v>Crossref题名与DOI精确匹配</x:v>
      </x:c>
    </x:row>
    <x:row r="93" ht="62" customHeight="1">
      <x:c r="A93" s="19" t="str">
        <x:v>L085</x:v>
      </x:c>
      <x:c r="B93" s="20" t="n">
        <x:v>2021</x:v>
      </x:c>
      <x:c r="C93" s="19" t="str">
        <x:v>弹塑性杆与送丝</x:v>
      </x:c>
      <x:c r="D93" s="19" t="str">
        <x:v>补充</x:v>
      </x:c>
      <x:c r="E93" s="17" t="str">
        <x:v>Multi-point flexible straightening process by reciprocating bending for metal profiles</x:v>
      </x:c>
      <x:c r="F93" s="17" t="str">
        <x:v>多点往复弯曲的变形机理与仿真验证可作为加载历史对照，截面型材与微米金丝需区分。</x:v>
      </x:c>
      <x:c r="G93" s="17" t="str">
        <x:v>迁移数值方法、历史变量或验证流程；原文尺寸、材料和边界不等同于微米金丝成弧。</x:v>
      </x:c>
      <x:c r="H93" s="17" t="str">
        <x:v>Xue-ying HUANG; Jun ZHAO; Gao-chao YU; Qing-dang MENG; Zhen-kai MU; Yan-jun LIU</x:v>
      </x:c>
      <x:c r="I93" s="17" t="str">
        <x:v>Transactions of Nonferrous Metals Society of China</x:v>
      </x:c>
      <x:c r="J93" s="17" t="str">
        <x:v>金属型材</x:v>
      </x:c>
      <x:c r="K93" s="21" t="str">
        <x:v>10.1016/s1003-6326(21)65636-4</x:v>
      </x:c>
      <x:c r="L93" s="21" t="str">
        <x:v>https://consensus.app/papers/multipoint-flexible-straightening-process-by-huang-zhao/cb4a64556eae5339909f3a7725844ad3/</x:v>
      </x:c>
      <x:c r="M93" s="21" t="str">
        <x:v>https://doi.org/10.1016/s1003-6326(21)65636-4</x:v>
      </x:c>
      <x:c r="N93" s="17" t="str">
        <x:v>已读摘要/检索摘要并核对题录；未系统阅读全文</x:v>
      </x:c>
      <x:c r="O93" s="17" t="str">
        <x:v>—</x:v>
      </x:c>
      <x:c r="P93" s="17" t="str">
        <x:v>Crossref题名与DOI精确匹配</x:v>
      </x:c>
    </x:row>
    <x:row r="94" ht="62" customHeight="1">
      <x:c r="A94" s="26" t="str">
        <x:v>L086</x:v>
      </x:c>
      <x:c r="B94" s="27" t="n">
        <x:v>2020</x:v>
      </x:c>
      <x:c r="C94" s="26" t="str">
        <x:v>弹塑性杆与送丝</x:v>
      </x:c>
      <x:c r="D94" s="23" t="str">
        <x:v>先读</x:v>
      </x:c>
      <x:c r="E94" s="24" t="str">
        <x:v>Discrete Elasto-Plastic Rods</x:v>
      </x:c>
      <x:c r="F94" s="24" t="str">
        <x:v>直接给出离散杆加纤维截面塑性返回映射，覆盖弯扭拉与循环加载，是轻量金丝求解的重要候选。</x:v>
      </x:c>
      <x:c r="G94" s="24" t="str">
        <x:v>迁移数值方法、历史变量或验证流程；原文尺寸、材料和边界不等同于微米金丝成弧。</x:v>
      </x:c>
      <x:c r="H94" s="24" t="str">
        <x:v>Xuanhe Li; Weicheng Huang; M. Khalid Jawed</x:v>
      </x:c>
      <x:c r="I94" s="24" t="str">
        <x:v>Extreme Mechanics Letters</x:v>
      </x:c>
      <x:c r="J94" s="24" t="str">
        <x:v>一般率无关弹塑性细杆</x:v>
      </x:c>
      <x:c r="K94" s="28" t="str">
        <x:v>10.1016/j.eml.2020.100767</x:v>
      </x:c>
      <x:c r="L94" s="28" t="str">
        <x:v>https://consensus.app/papers/discrete-elastoplastic-rods-li-huang/4af8d37e6c2a5be0a9642df4cee6524a/</x:v>
      </x:c>
      <x:c r="M94" s="28" t="str">
        <x:v>https://www.sciencedirect.com/science/article/abs/pii/S2352431620301024</x:v>
      </x:c>
      <x:c r="N94" s="24" t="str">
        <x:v>已读摘要/检索摘要并核对题录；未系统阅读全文</x:v>
      </x:c>
      <x:c r="O94" s="24" t="str">
        <x:v>—</x:v>
      </x:c>
      <x:c r="P94" s="24" t="str">
        <x:v>Crossref题名与DOI精确匹配</x:v>
      </x:c>
    </x:row>
    <x:row r="95" ht="62" customHeight="1">
      <x:c r="A95" s="19" t="str">
        <x:v>L087</x:v>
      </x:c>
      <x:c r="B95" s="20" t="n">
        <x:v>2019</x:v>
      </x:c>
      <x:c r="C95" s="19" t="str">
        <x:v>弹塑性杆与送丝</x:v>
      </x:c>
      <x:c r="D95" s="19" t="str">
        <x:v>核心</x:v>
      </x:c>
      <x:c r="E95" s="17" t="str">
        <x:v>A thermoelastoplastic theory for special Cosserat rods</x:v>
      </x:c>
      <x:c r="F95" s="17" t="str">
        <x:v>用于组织热影响、屈服条件和塑性历史变量，适合金丝热影响区扩展，但需材料标定。</x:v>
      </x:c>
      <x:c r="G95" s="17" t="str">
        <x:v>迁移数值方法、历史变量或验证流程；原文尺寸、材料和边界不等同于微米金丝成弧。</x:v>
      </x:c>
      <x:c r="H95" s="17" t="str">
        <x:v>Smriti; Ajeet Kumar; Alexander Großmann; Paul Steinmann</x:v>
      </x:c>
      <x:c r="I95" s="17" t="str">
        <x:v>Mathematics and Mechanics of Solids</x:v>
      </x:c>
      <x:c r="J95" s="17" t="str">
        <x:v>一般热弹塑性杆</x:v>
      </x:c>
      <x:c r="K95" s="21" t="str">
        <x:v>10.1177/1081286517754132</x:v>
      </x:c>
      <x:c r="L95" s="21" t="str">
        <x:v>https://consensus.app/papers/a-thermoelastoplastic-theory-for-special-cosserat-rods-smriti-kumar/034988bf0038538697cfbff21ab40f75/</x:v>
      </x:c>
      <x:c r="M95" s="21" t="str">
        <x:v>https://journals.sagepub.com/doi/10.1177/1081286517754132</x:v>
      </x:c>
      <x:c r="N95" s="17" t="str">
        <x:v>已读摘要/检索摘要并核对题录；未系统阅读全文</x:v>
      </x:c>
      <x:c r="O95" s="17" t="str">
        <x:v>在线2018-2-12；主年份采用正式卷期。</x:v>
      </x:c>
      <x:c r="P95" s="17" t="str">
        <x:v>Crossref题名与DOI精确匹配</x:v>
      </x:c>
    </x:row>
    <x:row r="96" ht="62" customHeight="1">
      <x:c r="A96" s="26" t="str">
        <x:v>L088</x:v>
      </x:c>
      <x:c r="B96" s="27" t="n">
        <x:v>2026</x:v>
      </x:c>
      <x:c r="C96" s="26" t="str">
        <x:v>回弹、识别与验证</x:v>
      </x:c>
      <x:c r="D96" s="26" t="str">
        <x:v>核心</x:v>
      </x:c>
      <x:c r="E96" s="24" t="str">
        <x:v>A cyclic shear-based identification framework for kinematic hardening: application to improved springback prediction in sheet metal forming</x:v>
      </x:c>
      <x:c r="F96" s="24" t="str">
        <x:v>借鉴循环试验与反演流程，标定随动硬化和包辛格效应。</x:v>
      </x:c>
      <x:c r="G96" s="24" t="str">
        <x:v>铝合金板材；试验与本构参数需为金丝重新标定。</x:v>
      </x:c>
      <x:c r="H96" s="24" t="str">
        <x:v>Abir Bouhamed; Warda Ahmed; Hanen Jrad</x:v>
      </x:c>
      <x:c r="I96" s="24" t="str">
        <x:v>Engineering Research Express</x:v>
      </x:c>
      <x:c r="J96" s="24" t="str">
        <x:v>AA5083板材</x:v>
      </x:c>
      <x:c r="K96" s="28" t="str">
        <x:v>10.1088/2631-8695/ae8b7c</x:v>
      </x:c>
      <x:c r="L96" s="28" t="str">
        <x:v>https://consensus.app/papers/a-cyclic-shearbased-identification-framework-for-bouhamed-ahmed/e58a628091dc5860ace35fba67517538/</x:v>
      </x:c>
      <x:c r="M96" s="28" t="str">
        <x:v>https://doi.org/10.1088/2631-8695/ae8b7c</x:v>
      </x:c>
      <x:c r="N96" s="24" t="str">
        <x:v>已读摘要/检索摘要并核对题录；未系统阅读全文</x:v>
      </x:c>
      <x:c r="O96" s="24" t="str">
        <x:v>—</x:v>
      </x:c>
      <x:c r="P96" s="24" t="str">
        <x:v>Crossref题名与DOI精确匹配</x:v>
      </x:c>
    </x:row>
    <x:row r="97" ht="62" customHeight="1">
      <x:c r="A97" s="19" t="str">
        <x:v>L089</x:v>
      </x:c>
      <x:c r="B97" s="20" t="n">
        <x:v>2026</x:v>
      </x:c>
      <x:c r="C97" s="19" t="str">
        <x:v>回弹、识别与验证</x:v>
      </x:c>
      <x:c r="D97" s="19" t="str">
        <x:v>核心</x:v>
      </x:c>
      <x:c r="E97" s="17" t="str">
        <x:v>Identification of Combined Isotropic–Kinematic Hardening Parameters from Reverse Bending Tests Using Recurrent Neural Networks</x:v>
      </x:c>
      <x:c r="F97" s="17" t="str">
        <x:v>反向弯曲力位移历史用于混合硬化参数识别。</x:v>
      </x:c>
      <x:c r="G97" s="17" t="str">
        <x:v>钢板合成数据与网络模型需重新训练，不能替代金丝试验。</x:v>
      </x:c>
      <x:c r="H97" s="17" t="str">
        <x:v>Daniel J. Cruz; Rui L. Amaral; Manuel R. Barbosa; Abel D. Santos; Jose Cesar de Sa</x:v>
      </x:c>
      <x:c r="I97" s="17" t="str">
        <x:v>Metals</x:v>
      </x:c>
      <x:c r="J97" s="17" t="str">
        <x:v>DP500/DP780钢板</x:v>
      </x:c>
      <x:c r="K97" s="21" t="str">
        <x:v>10.3390/met16091030</x:v>
      </x:c>
      <x:c r="L97" s="21" t="str">
        <x:v>https://consensus.app/papers/identification-of-combined-isotropic–kinematic-cruz-amaral/694b5289f071517880fa131dba4fb0e2/</x:v>
      </x:c>
      <x:c r="M97" s="21" t="str">
        <x:v>https://doi.org/10.3390/met16091030</x:v>
      </x:c>
      <x:c r="N97" s="17" t="str">
        <x:v>已读摘要/检索摘要并核对题录；未系统阅读全文</x:v>
      </x:c>
      <x:c r="O97" s="17" t="str">
        <x:v>—</x:v>
      </x:c>
      <x:c r="P97" s="17" t="str">
        <x:v>Crossref题名与DOI精确匹配</x:v>
      </x:c>
    </x:row>
    <x:row r="98" ht="62" customHeight="1">
      <x:c r="A98" s="26" t="str">
        <x:v>L090</x:v>
      </x:c>
      <x:c r="B98" s="27" t="n">
        <x:v>2025</x:v>
      </x:c>
      <x:c r="C98" s="26" t="str">
        <x:v>回弹、识别与验证</x:v>
      </x:c>
      <x:c r="D98" s="26" t="str">
        <x:v>补充</x:v>
      </x:c>
      <x:c r="E98" s="24" t="str">
        <x:v>Automatic computation of bending sequences for double-head wire bending machines</x:v>
      </x:c>
      <x:c r="F98" s="24" t="str">
        <x:v>双头弯线机序列搜索可参考复杂折弯工序组合。</x:v>
      </x:c>
      <x:c r="G98" s="24" t="str">
        <x:v>宏观设备与双头结构不同，规划约束需要重新定义。</x:v>
      </x:c>
      <x:c r="H98" s="24" t="str">
        <x:v>Andrea Baraldo; Luca Bascetta; Fabrizio Caprotti; Sumit Chourasiya; Gianni Ferretti; Angelo Ponti; Basak Sakcak</x:v>
      </x:c>
      <x:c r="I98" s="24" t="str">
        <x:v>International Journal of Computer Integrated Manufacturing</x:v>
      </x:c>
      <x:c r="J98" s="24" t="str">
        <x:v>宏观金属线</x:v>
      </x:c>
      <x:c r="K98" s="28" t="str">
        <x:v>10.1080/0951192x.2024.2314788</x:v>
      </x:c>
      <x:c r="L98" s="28" t="str">
        <x:v>https://consensus.app/papers/automatic-computation-of-bending-sequences-for-baraldo-bascetta/07a4297994bd524b9b2275db6b803694/</x:v>
      </x:c>
      <x:c r="M98" s="28" t="str">
        <x:v>https://doi.org/10.1080/0951192x.2024.2314788</x:v>
      </x:c>
      <x:c r="N98" s="24" t="str">
        <x:v>已读摘要/检索摘要并核对题录；未系统阅读全文</x:v>
      </x:c>
      <x:c r="O98" s="24" t="str">
        <x:v>在线2024；正式卷38期次采用2025。</x:v>
      </x:c>
      <x:c r="P98" s="24" t="str">
        <x:v>Crossref题名与DOI精确匹配</x:v>
      </x:c>
    </x:row>
    <x:row r="99" ht="62" customHeight="1">
      <x:c r="A99" s="19" t="str">
        <x:v>L091</x:v>
      </x:c>
      <x:c r="B99" s="20" t="n">
        <x:v>2024</x:v>
      </x:c>
      <x:c r="C99" s="19" t="str">
        <x:v>回弹、识别与验证</x:v>
      </x:c>
      <x:c r="D99" s="19" t="str">
        <x:v>补充</x:v>
      </x:c>
      <x:c r="E99" s="17" t="str">
        <x:v>Inline closed-loop control of bending angles with machine learning supported springback compensation</x:v>
      </x:c>
      <x:c r="F99" s="17" t="str">
        <x:v>借鉴在线弯曲角反馈与机器学习回弹补偿闭环。</x:v>
      </x:c>
      <x:c r="G99" s="17" t="str">
        <x:v>方法迁移需新的金丝观测、样本及设备接口。</x:v>
      </x:c>
      <x:c r="H99" s="17" t="str">
        <x:v>Dirk Alexander Molitor; Viktor Arne; Christian Kubik; Gabriel Noemark; Peter Groche</x:v>
      </x:c>
      <x:c r="I99" s="17" t="str">
        <x:v>International Journal of Material Forming</x:v>
      </x:c>
      <x:c r="J99" s="17" t="str">
        <x:v>金属弯曲件</x:v>
      </x:c>
      <x:c r="K99" s="21" t="str">
        <x:v>10.1007/s12289-023-01802-y</x:v>
      </x:c>
      <x:c r="L99" s="21" t="str">
        <x:v>https://consensus.app/papers/inline-closedloop-control-of-bending-angles-with-machine-molitor-arne/950f35ecd206599bac3eca4e79d7267f/</x:v>
      </x:c>
      <x:c r="M99" s="21" t="str">
        <x:v>https://doi.org/10.1007/s12289-023-01802-y</x:v>
      </x:c>
      <x:c r="N99" s="17" t="str">
        <x:v>已读摘要/检索摘要并核对题录；未系统阅读全文</x:v>
      </x:c>
      <x:c r="O99" s="17" t="str">
        <x:v>在线2023-12-13；正式卷期2024-01，主年份按卷期。</x:v>
      </x:c>
      <x:c r="P99" s="17" t="str">
        <x:v>Crossref题名与DOI精确匹配</x:v>
      </x:c>
    </x:row>
    <x:row r="100" ht="62" customHeight="1">
      <x:c r="A100" s="26" t="str">
        <x:v>L092</x:v>
      </x:c>
      <x:c r="B100" s="27" t="n">
        <x:v>2023</x:v>
      </x:c>
      <x:c r="C100" s="26" t="str">
        <x:v>回弹、识别与验证</x:v>
      </x:c>
      <x:c r="D100" s="26" t="str">
        <x:v>补充</x:v>
      </x:c>
      <x:c r="E100" s="24" t="str">
        <x:v>Convolutional Neural Network Defect Detection Algorithm for Wire Bonding X-ray Images</x:v>
      </x:c>
      <x:c r="F100" s="24" t="str">
        <x:v>小尺寸线键合缺陷检测可参考实验图像批量质检。</x:v>
      </x:c>
      <x:c r="G100" s="24" t="str">
        <x:v>缺陷分类模型不等同成弧预测；需标注与相机标定。</x:v>
      </x:c>
      <x:c r="H100" s="24" t="str">
        <x:v>Daohua Zhan; Renbin Huang; Kunran Yi; Xiuding Yang; Zhuohao Shi; Ruinan Lin; Jian Lin; Han Wang</x:v>
      </x:c>
      <x:c r="I100" s="24" t="str">
        <x:v>Micromachines</x:v>
      </x:c>
      <x:c r="J100" s="24" t="str">
        <x:v>线键合X射线图像</x:v>
      </x:c>
      <x:c r="K100" s="28" t="str">
        <x:v>10.3390/mi14091737</x:v>
      </x:c>
      <x:c r="L100" s="28" t="str">
        <x:v>https://consensus.app/papers/convolutional-neural-network-defect-detection-algorithm-zhan-huang/a3a30324e8c159f2a57d7475930071dc/</x:v>
      </x:c>
      <x:c r="M100" s="28" t="str">
        <x:v>https://doi.org/10.3390/mi14091737</x:v>
      </x:c>
      <x:c r="N100" s="24" t="str">
        <x:v>已读摘要/检索摘要并核对题录；未系统阅读全文</x:v>
      </x:c>
      <x:c r="O100" s="24" t="str">
        <x:v>—</x:v>
      </x:c>
      <x:c r="P100" s="24" t="str">
        <x:v>Crossref题名与DOI精确匹配</x:v>
      </x:c>
    </x:row>
    <x:row r="101" ht="62" customHeight="1">
      <x:c r="A101" s="19" t="str">
        <x:v>L093</x:v>
      </x:c>
      <x:c r="B101" s="20" t="n">
        <x:v>2022</x:v>
      </x:c>
      <x:c r="C101" s="19" t="str">
        <x:v>回弹、识别与验证</x:v>
      </x:c>
      <x:c r="D101" s="19" t="str">
        <x:v>补充</x:v>
      </x:c>
      <x:c r="E101" s="17" t="str">
        <x:v>A Survey of Detection Methods for Die Attachment and Wire Bonding Defects in Integrated Circuit Manufacturing</x:v>
      </x:c>
      <x:c r="F101" s="17" t="str">
        <x:v>用于选择键合缺陷与形貌的观测方式及验证指标。</x:v>
      </x:c>
      <x:c r="G101" s="17" t="str">
        <x:v>检测综述；不是弹塑性成弧模型。</x:v>
      </x:c>
      <x:c r="H101" s="17" t="str">
        <x:v>Lamia Alam; Nasser Kehtarnavaz</x:v>
      </x:c>
      <x:c r="I101" s="17" t="str">
        <x:v>IEEE Access</x:v>
      </x:c>
      <x:c r="J101" s="17" t="str">
        <x:v>IC封装缺陷图像</x:v>
      </x:c>
      <x:c r="K101" s="21" t="str">
        <x:v>10.1109/access.2022.3197624</x:v>
      </x:c>
      <x:c r="L101" s="21" t="str">
        <x:v>https://consensus.app/papers/a-survey-of-detection-methods-for-die-attachment-and-wire-alam-kehtarnavaz/2eb6eb0007ec5a7990dd239b0ce3ffce/</x:v>
      </x:c>
      <x:c r="M101" s="21" t="str">
        <x:v>https://doi.org/10.1109/access.2022.3197624</x:v>
      </x:c>
      <x:c r="N101" s="17" t="str">
        <x:v>已读摘要/检索摘要并核对题录；未系统阅读全文</x:v>
      </x:c>
      <x:c r="O101" s="17" t="str">
        <x:v>—</x:v>
      </x:c>
      <x:c r="P101" s="17" t="str">
        <x:v>Crossref题名与DOI精确匹配</x:v>
      </x:c>
    </x:row>
    <x:row r="102" ht="62" customHeight="1">
      <x:c r="A102" s="26" t="str">
        <x:v>L094</x:v>
      </x:c>
      <x:c r="B102" s="27" t="n">
        <x:v>2022</x:v>
      </x:c>
      <x:c r="C102" s="26" t="str">
        <x:v>回弹、识别与验证</x:v>
      </x:c>
      <x:c r="D102" s="26" t="str">
        <x:v>补充</x:v>
      </x:c>
      <x:c r="E102" s="24" t="str">
        <x:v>Automatic computation of bending sequences for wire bending machines</x:v>
      </x:c>
      <x:c r="F102" s="24" t="str">
        <x:v>自动计算可行弯曲序列与自碰撞、工具碰撞检查。</x:v>
      </x:c>
      <x:c r="G102" s="24" t="str">
        <x:v>宏观弯线机，侧重工序规划；需另建金丝成形力学。</x:v>
      </x:c>
      <x:c r="H102" s="24" t="str">
        <x:v>Andrea Baraldo; Luca Bascetta; Fabrizio Caprotti; Sumit Chourasiya; Gianni Ferretti; Angelo Ponti; Basak Sakcak</x:v>
      </x:c>
      <x:c r="I102" s="24" t="str">
        <x:v>International Journal of Computer Integrated Manufacturing</x:v>
      </x:c>
      <x:c r="J102" s="24" t="str">
        <x:v>宏观金属线</x:v>
      </x:c>
      <x:c r="K102" s="28" t="str">
        <x:v>10.1080/0951192x.2022.2043563</x:v>
      </x:c>
      <x:c r="L102" s="28" t="str">
        <x:v>https://consensus.app/papers/automatic-computation-of-bending-sequences-for-wire-baraldo-bascetta/e7dd5aa83bce53d6ba13ceb3377edc43/</x:v>
      </x:c>
      <x:c r="M102" s="28" t="str">
        <x:v>https://doi.org/10.1080/0951192x.2022.2043563</x:v>
      </x:c>
      <x:c r="N102" s="24" t="str">
        <x:v>已读摘要/检索摘要并核对题录；未系统阅读全文</x:v>
      </x:c>
      <x:c r="O102" s="24" t="str">
        <x:v>—</x:v>
      </x:c>
      <x:c r="P102" s="24" t="str">
        <x:v>Crossref题名与DOI精确匹配</x:v>
      </x:c>
    </x:row>
    <x:row r="103" ht="62" customHeight="1">
      <x:c r="A103" s="19" t="str">
        <x:v>L095</x:v>
      </x:c>
      <x:c r="B103" s="20" t="n">
        <x:v>2021</x:v>
      </x:c>
      <x:c r="C103" s="19" t="str">
        <x:v>回弹、识别与验证</x:v>
      </x:c>
      <x:c r="D103" s="19" t="str">
        <x:v>补充</x:v>
      </x:c>
      <x:c r="E103" s="17" t="str">
        <x:v>A data-driven method for enhancing the image-based automatic inspection of IC wire bonding defects</x:v>
      </x:c>
      <x:c r="F103" s="17" t="str">
        <x:v>键合线图像预处理与特征提取可参考自动形貌验证。</x:v>
      </x:c>
      <x:c r="G103" s="17" t="str">
        <x:v>X射线缺陷检测，不能直接获得三维线形或残余应力。</x:v>
      </x:c>
      <x:c r="H103" s="17" t="str">
        <x:v>Junlong Chen; Zijun Zhang; Feng Wu</x:v>
      </x:c>
      <x:c r="I103" s="17" t="str">
        <x:v>International Journal of Production Research</x:v>
      </x:c>
      <x:c r="J103" s="17" t="str">
        <x:v>IC键合线图像</x:v>
      </x:c>
      <x:c r="K103" s="21" t="str">
        <x:v>10.1080/00207543.2020.1821928</x:v>
      </x:c>
      <x:c r="L103" s="21" t="str">
        <x:v>https://consensus.app/papers/a-datadriven-method-for-enhancing-the-imagebased-chen-zhang/4f2421bbe66c57eba1dcada9f7804e32/</x:v>
      </x:c>
      <x:c r="M103" s="21" t="str">
        <x:v>https://doi.org/10.1080/00207543.2020.1821928</x:v>
      </x:c>
      <x:c r="N103" s="17" t="str">
        <x:v>已读摘要/检索摘要并核对题录；未系统阅读全文</x:v>
      </x:c>
      <x:c r="O103" s="17" t="str">
        <x:v>在线2020-09-27；正式卷期2021-08，主年份按卷期。</x:v>
      </x:c>
      <x:c r="P103" s="17" t="str">
        <x:v>Crossref题名与DOI精确匹配</x:v>
      </x:c>
    </x:row>
    <x:row r="104" ht="62" customHeight="1">
      <x:c r="A104" s="26" t="str">
        <x:v>L096</x:v>
      </x:c>
      <x:c r="B104" s="27" t="n">
        <x:v>2021</x:v>
      </x:c>
      <x:c r="C104" s="26" t="str">
        <x:v>回弹、识别与验证</x:v>
      </x:c>
      <x:c r="D104" s="26" t="str">
        <x:v>补充</x:v>
      </x:c>
      <x:c r="E104" s="24" t="str">
        <x:v>Application of Machine Learning to Bending Processes and Material Identification</x:v>
      </x:c>
      <x:c r="F104" s="24" t="str">
        <x:v>用弯曲力位移曲线识别本构参数，并建立回弹补偿代理。</x:v>
      </x:c>
      <x:c r="G104" s="24" t="str">
        <x:v>板材成形方法；训练数据与验证集不能直接迁移。</x:v>
      </x:c>
      <x:c r="H104" s="24" t="str">
        <x:v>Daniel J. Cruz; Manuel R. Barbosa; Abel D. Santos; Sara S. Miranda; Rui L. Amaral</x:v>
      </x:c>
      <x:c r="I104" s="24" t="str">
        <x:v>Metals</x:v>
      </x:c>
      <x:c r="J104" s="24" t="str">
        <x:v>板材</x:v>
      </x:c>
      <x:c r="K104" s="28" t="str">
        <x:v>10.3390/met11091418</x:v>
      </x:c>
      <x:c r="L104" s="28" t="str">
        <x:v>https://consensus.app/papers/application-of-machine-learning-to-bending-processes-and-cruz-barbosa/3cba4f35ea145e218446460969ddffe4/</x:v>
      </x:c>
      <x:c r="M104" s="28" t="str">
        <x:v>https://doi.org/10.3390/met11091418</x:v>
      </x:c>
      <x:c r="N104" s="24" t="str">
        <x:v>已读摘要/检索摘要并核对题录；未系统阅读全文</x:v>
      </x:c>
      <x:c r="O104" s="24" t="str">
        <x:v>—</x:v>
      </x:c>
      <x:c r="P104" s="24" t="str">
        <x:v>Crossref题名与DOI精确匹配</x:v>
      </x:c>
    </x:row>
    <x:row r="105" ht="62" customHeight="1">
      <x:c r="A105" s="19" t="str">
        <x:v>L097</x:v>
      </x:c>
      <x:c r="B105" s="20" t="n">
        <x:v>2021</x:v>
      </x:c>
      <x:c r="C105" s="19" t="str">
        <x:v>回弹、识别与验证</x:v>
      </x:c>
      <x:c r="D105" s="19" t="str">
        <x:v>补充</x:v>
      </x:c>
      <x:c r="E105" s="17" t="str">
        <x:v>Modelling of Springback in Tube Bending: A Generalized Analytical Approach</x:v>
      </x:c>
      <x:c r="F105" s="17" t="str">
        <x:v>借鉴中性层偏移、弹性模量历史和卸载阶段的回弹建模。</x:v>
      </x:c>
      <x:c r="G105" s="17" t="str">
        <x:v>管材含截面变化与拉压不对称，实心金丝需简化重推。</x:v>
      </x:c>
      <x:c r="H105" s="17" t="str">
        <x:v>J. Ma; H. Li; M.W. Fu</x:v>
      </x:c>
      <x:c r="I105" s="17" t="str">
        <x:v>International Journal of Mechanical Sciences</x:v>
      </x:c>
      <x:c r="J105" s="17" t="str">
        <x:v>金属管材</x:v>
      </x:c>
      <x:c r="K105" s="21" t="str">
        <x:v>10.1016/j.ijmecsci.2021.106516</x:v>
      </x:c>
      <x:c r="L105" s="21" t="str">
        <x:v>https://consensus.app/papers/modelling-of-springback-in-tube-bending-a-generalized-ma-li/88970f6d1ffd522193d63eb0e0925479/</x:v>
      </x:c>
      <x:c r="M105" s="21" t="str">
        <x:v>https://doi.org/10.1016/j.ijmecsci.2021.106516</x:v>
      </x:c>
      <x:c r="N105" s="17" t="str">
        <x:v>已读摘要/检索摘要并核对题录；未系统阅读全文</x:v>
      </x:c>
      <x:c r="O105" s="17" t="str">
        <x:v>—</x:v>
      </x:c>
      <x:c r="P105" s="17" t="str">
        <x:v>Crossref题名与DOI精确匹配</x:v>
      </x:c>
    </x:row>
    <x:row r="106" ht="62" customHeight="1">
      <x:c r="A106" s="26" t="str">
        <x:v>L098</x:v>
      </x:c>
      <x:c r="B106" s="27" t="n">
        <x:v>2021</x:v>
      </x:c>
      <x:c r="C106" s="26" t="str">
        <x:v>回弹、识别与验证</x:v>
      </x:c>
      <x:c r="D106" s="26" t="str">
        <x:v>补充</x:v>
      </x:c>
      <x:c r="E106" s="24" t="str">
        <x:v>Springback prediction model and its compensation method for the variable curvature metal tube bending forming</x:v>
      </x:c>
      <x:c r="F106" s="24" t="str">
        <x:v>参考变曲率路径的回弹预测和轨迹补偿组织方式。</x:v>
      </x:c>
      <x:c r="G106" s="24" t="str">
        <x:v>管材建模；需重新推导实心线截面与工艺边界。</x:v>
      </x:c>
      <x:c r="H106" s="24" t="str">
        <x:v>Shuyou Zhang; Mengyu Fu; Zili Wang; Dingyu Fang; Weiming Lin; Huifang Zhou</x:v>
      </x:c>
      <x:c r="I106" s="24" t="str">
        <x:v>The International Journal of Advanced Manufacturing Technology</x:v>
      </x:c>
      <x:c r="J106" s="24" t="str">
        <x:v>金属管材</x:v>
      </x:c>
      <x:c r="K106" s="28" t="str">
        <x:v>10.1007/s00170-020-06506-0</x:v>
      </x:c>
      <x:c r="L106" s="28" t="str">
        <x:v>https://consensus.app/papers/springback-prediction-model-and-its-compensation-method-zhang-fu/8c8c3ea4571f5e0699b7e167e1a229f0/</x:v>
      </x:c>
      <x:c r="M106" s="28" t="str">
        <x:v>https://doi.org/10.1007/s00170-020-06506-0</x:v>
      </x:c>
      <x:c r="N106" s="24" t="str">
        <x:v>已读摘要/检索摘要并核对题录；未系统阅读全文</x:v>
      </x:c>
      <x:c r="O106" s="24" t="str">
        <x:v>—</x:v>
      </x:c>
      <x:c r="P106" s="24" t="str">
        <x:v>Crossref题名与DOI精确匹配</x:v>
      </x:c>
    </x:row>
    <x:row r="107" ht="62" customHeight="1">
      <x:c r="A107" s="19" t="str">
        <x:v>L099</x:v>
      </x:c>
      <x:c r="B107" s="20" t="n">
        <x:v>2020</x:v>
      </x:c>
      <x:c r="C107" s="19" t="str">
        <x:v>回弹、识别与验证</x:v>
      </x:c>
      <x:c r="D107" s="19" t="str">
        <x:v>补充</x:v>
      </x:c>
      <x:c r="E107" s="17" t="str">
        <x:v>Analysis of orthodontic wire springback to simplify wire bending</x:v>
      </x:c>
      <x:c r="F107" s="17" t="str">
        <x:v>圆线弯曲试验与逆向角度补偿可作低成本回弹验证参考。</x:v>
      </x:c>
      <x:c r="G107" s="17" t="str">
        <x:v>钢/钴铬牙科圆线；线径与材料不同。</x:v>
      </x:c>
      <x:c r="H107" s="17" t="str">
        <x:v>Hiroshi Kono; Masafumi Kikuchi</x:v>
      </x:c>
      <x:c r="I107" s="17" t="str">
        <x:v>Orthodontic Waves</x:v>
      </x:c>
      <x:c r="J107" s="17" t="str">
        <x:v>不锈钢/钴铬圆线</x:v>
      </x:c>
      <x:c r="K107" s="21" t="str">
        <x:v>10.1080/13440241.2020.1741070</x:v>
      </x:c>
      <x:c r="L107" s="21" t="str">
        <x:v>https://consensus.app/papers/analysis-of-orthodontic-wire-springback-to-simplify-wire-kono-kikuchi/b9c27b3cb8d55917a65b9da4ea08fe13/</x:v>
      </x:c>
      <x:c r="M107" s="21" t="str">
        <x:v>https://doi.org/10.1080/13440241.2020.1741070</x:v>
      </x:c>
      <x:c r="N107" s="17" t="str">
        <x:v>已读摘要/检索摘要并核对题录；未系统阅读全文</x:v>
      </x:c>
      <x:c r="O107" s="17" t="str">
        <x:v>—</x:v>
      </x:c>
      <x:c r="P107" s="17" t="str">
        <x:v>Crossref题名与DOI精确匹配</x:v>
      </x:c>
    </x:row>
    <x:row r="108" ht="62" customHeight="1">
      <x:c r="A108" s="26" t="str">
        <x:v>L100</x:v>
      </x:c>
      <x:c r="B108" s="27" t="n">
        <x:v>2019</x:v>
      </x:c>
      <x:c r="C108" s="26" t="str">
        <x:v>回弹、识别与验证</x:v>
      </x:c>
      <x:c r="D108" s="26" t="str">
        <x:v>核心</x:v>
      </x:c>
      <x:c r="E108" s="24" t="str">
        <x:v>Enhanced springback prediction for bending of high-strength spring steel using material data from an inverse modelling approach</x:v>
      </x:c>
      <x:c r="F108" s="24" t="str">
        <x:v>三点弯曲逆向识别和卸载模量可补充仅拉伸的材料标定。</x:v>
      </x:c>
      <x:c r="G108" s="24" t="str">
        <x:v>高强弹簧钢，材料数值不适用于金丝。</x:v>
      </x:c>
      <x:c r="H108" s="24" t="str">
        <x:v>Chris Mertin; Thomas Stellmacher; Roman Schmitz; Gerhard Hirt</x:v>
      </x:c>
      <x:c r="I108" s="24" t="str">
        <x:v>Procedia Manufacturing</x:v>
      </x:c>
      <x:c r="J108" s="24" t="str">
        <x:v>弹簧钢带/扁线</x:v>
      </x:c>
      <x:c r="K108" s="28" t="str">
        <x:v>10.1016/j.promfg.2019.02.120</x:v>
      </x:c>
      <x:c r="L108" s="28" t="str">
        <x:v>https://consensus.app/papers/enhanced-springback-prediction-for-bending-of-schmitz/7fa75568462954b8b43be56db484df69/</x:v>
      </x:c>
      <x:c r="M108" s="28" t="str">
        <x:v>https://doi.org/10.1016/j.promfg.2019.02.120</x:v>
      </x:c>
      <x:c r="N108" s="24" t="str">
        <x:v>已读摘要/检索摘要并核对题录；未系统阅读全文</x:v>
      </x:c>
      <x:c r="O108" s="24" t="str">
        <x:v>—</x:v>
      </x:c>
      <x:c r="P108" s="24" t="str">
        <x:v>Crossref题名与DOI精确匹配</x:v>
      </x:c>
    </x:row>
  </x:sheetData>
  <x:mergeCells>
    <x:mergeCell ref="A1:F1"/>
    <x:mergeCell ref="A2:F2"/>
    <x:mergeCell ref="A3:C3"/>
    <x:mergeCell ref="A4:C4"/>
    <x:mergeCell ref="A5:F5"/>
    <x:mergeCell ref="A6:F6"/>
    <x:mergeCell ref="A7:F7"/>
  </x:mergeCells>
  <x:pageMargins left="0.7" right="0.7" top="0.75" bottom="0.75" header="0.3" footer="0.3"/>
  <x:tableParts count="1">
    <x:tablePart xmlns:r="http://schemas.openxmlformats.org/officeDocument/2006/relationships" r:id="R0bf3db128d5746cf"/>
  </x:tableParts>
</x:worksheet>
</file>